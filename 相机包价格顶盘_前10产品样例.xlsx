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3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48">
    <font>
      <name val="宋体"/>
      <charset val="134"/>
      <color theme="1"/>
      <sz val="11"/>
      <scheme val="minor"/>
    </font>
    <font>
      <name val="宋体"/>
      <charset val="134"/>
      <sz val="14"/>
      <scheme val="minor"/>
    </font>
    <font>
      <name val="SimSun"/>
      <charset val="134"/>
      <b val="1"/>
      <color rgb="FF000000"/>
      <sz val="11"/>
    </font>
    <font>
      <name val="SimSun"/>
      <charset val="134"/>
      <color rgb="FF000000"/>
      <sz val="11"/>
    </font>
    <font>
      <name val="宋体"/>
      <charset val="134"/>
      <b val="1"/>
      <color theme="1"/>
      <sz val="11"/>
      <scheme val="minor"/>
    </font>
    <font>
      <name val="SimSun"/>
      <charset val="134"/>
      <b val="1"/>
      <sz val="11"/>
    </font>
    <font>
      <name val="宋体"/>
      <charset val="0"/>
      <color rgb="FF800080"/>
      <sz val="11"/>
      <u val="single"/>
      <scheme val="minor"/>
    </font>
    <font>
      <name val="宋体"/>
      <charset val="134"/>
      <color theme="1"/>
      <sz val="10"/>
      <scheme val="minor"/>
    </font>
    <font>
      <name val="SimSun"/>
      <charset val="134"/>
      <color rgb="FFFF0000"/>
      <sz val="11"/>
      <u val="single"/>
    </font>
    <font>
      <name val="宋体"/>
      <charset val="0"/>
      <b val="1"/>
      <color rgb="FFFF0000"/>
      <sz val="11"/>
      <u val="single"/>
      <scheme val="minor"/>
    </font>
    <font>
      <name val="SimSun"/>
      <charset val="134"/>
      <b val="1"/>
      <color rgb="FFFF0000"/>
      <sz val="11"/>
      <u val="single"/>
    </font>
    <font>
      <name val="SimSun"/>
      <charset val="134"/>
      <sz val="11"/>
    </font>
    <font>
      <name val="SimSun"/>
      <charset val="134"/>
      <sz val="11"/>
      <u val="single"/>
    </font>
    <font>
      <name val="宋体"/>
      <charset val="0"/>
      <b val="1"/>
      <sz val="11"/>
      <u val="single"/>
      <scheme val="minor"/>
    </font>
    <font>
      <name val="SimSun"/>
      <charset val="134"/>
      <b val="1"/>
      <sz val="11"/>
      <u val="single"/>
    </font>
    <font>
      <name val="宋体"/>
      <charset val="134"/>
      <b val="1"/>
      <color rgb="FF000000"/>
      <sz val="11"/>
      <scheme val="minor"/>
    </font>
    <font>
      <name val="宋体"/>
      <charset val="134"/>
      <b val="1"/>
      <color rgb="FF000000"/>
      <sz val="12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0000"/>
      <sz val="11"/>
      <u val="single"/>
      <scheme val="minor"/>
    </font>
    <font>
      <name val="黑体"/>
      <charset val="134"/>
      <color rgb="FFFF0000"/>
      <sz val="12"/>
    </font>
    <font>
      <name val="宋体"/>
      <charset val="134"/>
      <b val="1"/>
      <color rgb="FFFF0000"/>
      <sz val="11"/>
      <scheme val="minor"/>
    </font>
    <font>
      <name val="黑体"/>
      <charset val="134"/>
      <color rgb="FFFF0000"/>
      <sz val="11"/>
    </font>
    <font>
      <name val="宋体"/>
      <charset val="134"/>
      <sz val="16"/>
      <scheme val="minor"/>
    </font>
    <font>
      <name val="SimSun"/>
      <charset val="134"/>
      <color rgb="FF000000"/>
      <sz val="11"/>
      <u val="single"/>
    </font>
    <font>
      <name val="SimSun"/>
      <charset val="134"/>
      <color rgb="FFFF0000"/>
      <sz val="11"/>
    </font>
    <font>
      <name val="SimSun"/>
      <charset val="134"/>
      <b val="1"/>
      <color rgb="FF000000"/>
      <sz val="11"/>
      <u val="single"/>
    </font>
    <font>
      <name val="宋体"/>
      <charset val="134"/>
      <color rgb="FF000000"/>
      <sz val="10"/>
      <scheme val="minor"/>
    </font>
    <font>
      <name val="宋体"/>
      <charset val="134"/>
      <b val="1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44">
    <fill>
      <patternFill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8" fillId="0" borderId="0" applyAlignment="1">
      <alignment vertical="center"/>
    </xf>
    <xf numFmtId="0" fontId="6" fillId="0" borderId="0" applyAlignment="1">
      <alignment vertical="center"/>
    </xf>
    <xf numFmtId="0" fontId="0" fillId="13" borderId="13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14" applyAlignment="1">
      <alignment vertical="center"/>
    </xf>
    <xf numFmtId="0" fontId="33" fillId="0" borderId="14" applyAlignment="1">
      <alignment vertical="center"/>
    </xf>
    <xf numFmtId="0" fontId="34" fillId="0" borderId="15" applyAlignment="1">
      <alignment vertical="center"/>
    </xf>
    <xf numFmtId="0" fontId="34" fillId="0" borderId="0" applyAlignment="1">
      <alignment vertical="center"/>
    </xf>
    <xf numFmtId="0" fontId="35" fillId="14" borderId="16" applyAlignment="1">
      <alignment vertical="center"/>
    </xf>
    <xf numFmtId="0" fontId="36" fillId="15" borderId="17" applyAlignment="1">
      <alignment vertical="center"/>
    </xf>
    <xf numFmtId="0" fontId="37" fillId="15" borderId="16" applyAlignment="1">
      <alignment vertical="center"/>
    </xf>
    <xf numFmtId="0" fontId="38" fillId="16" borderId="18" applyAlignment="1">
      <alignment vertical="center"/>
    </xf>
    <xf numFmtId="0" fontId="39" fillId="0" borderId="19" applyAlignment="1">
      <alignment vertical="center"/>
    </xf>
    <xf numFmtId="0" fontId="40" fillId="0" borderId="2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3" fillId="19" borderId="0" applyAlignment="1">
      <alignment vertical="center"/>
    </xf>
    <xf numFmtId="0" fontId="44" fillId="20" borderId="0" applyAlignment="1">
      <alignment vertical="center"/>
    </xf>
    <xf numFmtId="0" fontId="45" fillId="21" borderId="0" applyAlignment="1">
      <alignment vertical="center"/>
    </xf>
    <xf numFmtId="0" fontId="45" fillId="22" borderId="0" applyAlignment="1">
      <alignment vertical="center"/>
    </xf>
    <xf numFmtId="0" fontId="44" fillId="23" borderId="0" applyAlignment="1">
      <alignment vertical="center"/>
    </xf>
    <xf numFmtId="0" fontId="44" fillId="24" borderId="0" applyAlignment="1">
      <alignment vertical="center"/>
    </xf>
    <xf numFmtId="0" fontId="45" fillId="25" borderId="0" applyAlignment="1">
      <alignment vertical="center"/>
    </xf>
    <xf numFmtId="0" fontId="45" fillId="26" borderId="0" applyAlignment="1">
      <alignment vertical="center"/>
    </xf>
    <xf numFmtId="0" fontId="44" fillId="27" borderId="0" applyAlignment="1">
      <alignment vertical="center"/>
    </xf>
    <xf numFmtId="0" fontId="44" fillId="28" borderId="0" applyAlignment="1">
      <alignment vertical="center"/>
    </xf>
    <xf numFmtId="0" fontId="45" fillId="29" borderId="0" applyAlignment="1">
      <alignment vertical="center"/>
    </xf>
    <xf numFmtId="0" fontId="45" fillId="30" borderId="0" applyAlignment="1">
      <alignment vertical="center"/>
    </xf>
    <xf numFmtId="0" fontId="44" fillId="31" borderId="0" applyAlignment="1">
      <alignment vertical="center"/>
    </xf>
    <xf numFmtId="0" fontId="44" fillId="32" borderId="0" applyAlignment="1">
      <alignment vertical="center"/>
    </xf>
    <xf numFmtId="0" fontId="45" fillId="33" borderId="0" applyAlignment="1">
      <alignment vertical="center"/>
    </xf>
    <xf numFmtId="0" fontId="45" fillId="34" borderId="0" applyAlignment="1">
      <alignment vertical="center"/>
    </xf>
    <xf numFmtId="0" fontId="44" fillId="35" borderId="0" applyAlignment="1">
      <alignment vertical="center"/>
    </xf>
    <xf numFmtId="0" fontId="44" fillId="36" borderId="0" applyAlignment="1">
      <alignment vertical="center"/>
    </xf>
    <xf numFmtId="0" fontId="45" fillId="37" borderId="0" applyAlignment="1">
      <alignment vertical="center"/>
    </xf>
    <xf numFmtId="0" fontId="45" fillId="38" borderId="0" applyAlignment="1">
      <alignment vertical="center"/>
    </xf>
    <xf numFmtId="0" fontId="44" fillId="39" borderId="0" applyAlignment="1">
      <alignment vertical="center"/>
    </xf>
    <xf numFmtId="0" fontId="44" fillId="40" borderId="0" applyAlignment="1">
      <alignment vertical="center"/>
    </xf>
    <xf numFmtId="0" fontId="45" fillId="41" borderId="0" applyAlignment="1">
      <alignment vertical="center"/>
    </xf>
    <xf numFmtId="0" fontId="45" fillId="42" borderId="0" applyAlignment="1">
      <alignment vertical="center"/>
    </xf>
    <xf numFmtId="0" fontId="44" fillId="43" borderId="0" applyAlignment="1">
      <alignment vertical="center"/>
    </xf>
  </cellStyleXfs>
  <cellXfs count="43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6" fillId="2" borderId="1" applyAlignment="1" pivotButton="0" quotePrefix="0" xfId="6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8" fillId="5" borderId="5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6" fillId="4" borderId="1" applyAlignment="1" pivotButton="0" quotePrefix="0" xfId="6">
      <alignment horizontal="center" vertical="center"/>
    </xf>
    <xf numFmtId="0" fontId="6" fillId="5" borderId="5" applyAlignment="1" pivotButton="0" quotePrefix="0" xfId="6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/>
    </xf>
    <xf numFmtId="0" fontId="3" fillId="7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6" fillId="6" borderId="5" applyAlignment="1" pivotButton="0" quotePrefix="0" xfId="6">
      <alignment horizontal="center" vertical="center"/>
    </xf>
    <xf numFmtId="0" fontId="6" fillId="7" borderId="5" applyAlignment="1" pivotButton="0" quotePrefix="0" xfId="6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8" fillId="6" borderId="7" applyAlignment="1" pivotButton="0" quotePrefix="0" xfId="0">
      <alignment horizontal="center" vertical="center"/>
    </xf>
    <xf numFmtId="0" fontId="8" fillId="7" borderId="7" applyAlignment="1" pivotButton="0" quotePrefix="0" xfId="0">
      <alignment horizontal="center" vertical="center"/>
    </xf>
    <xf numFmtId="0" fontId="8" fillId="6" borderId="8" applyAlignment="1" pivotButton="0" quotePrefix="0" xfId="0">
      <alignment horizontal="center" vertical="center"/>
    </xf>
    <xf numFmtId="0" fontId="8" fillId="7" borderId="8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7" borderId="6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3" fillId="7" borderId="7" applyAlignment="1" pivotButton="0" quotePrefix="0" xfId="0">
      <alignment horizontal="center" vertical="center"/>
    </xf>
    <xf numFmtId="0" fontId="3" fillId="6" borderId="8" applyAlignment="1" pivotButton="0" quotePrefix="0" xfId="0">
      <alignment horizontal="center" vertical="center"/>
    </xf>
    <xf numFmtId="0" fontId="3" fillId="7" borderId="8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/>
    </xf>
    <xf numFmtId="0" fontId="8" fillId="8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9" fillId="8" borderId="5" applyAlignment="1" pivotButton="0" quotePrefix="0" xfId="6">
      <alignment horizontal="center" vertical="center"/>
    </xf>
    <xf numFmtId="0" fontId="9" fillId="6" borderId="5" applyAlignment="1" pivotButton="0" quotePrefix="0" xfId="6">
      <alignment horizontal="center" vertical="center"/>
    </xf>
    <xf numFmtId="0" fontId="10" fillId="6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10" fillId="6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10" fillId="6" borderId="8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3" fillId="8" borderId="6" applyAlignment="1" pivotButton="0" quotePrefix="0" xfId="0">
      <alignment horizontal="center" vertical="center"/>
    </xf>
    <xf numFmtId="0" fontId="3" fillId="8" borderId="7" applyAlignment="1" pivotButton="0" quotePrefix="0" xfId="0">
      <alignment horizontal="center" vertical="center"/>
    </xf>
    <xf numFmtId="0" fontId="3" fillId="8" borderId="8" applyAlignment="1" pivotButton="0" quotePrefix="0" xfId="0">
      <alignment horizontal="center" vertical="center"/>
    </xf>
    <xf numFmtId="0" fontId="3" fillId="8" borderId="5" applyAlignment="1" pivotButton="0" quotePrefix="0" xfId="0">
      <alignment horizontal="center" vertical="center" wrapText="1"/>
    </xf>
    <xf numFmtId="0" fontId="2" fillId="6" borderId="5" applyAlignment="1" pivotButton="0" quotePrefix="0" xfId="0">
      <alignment horizontal="center" vertical="center" wrapText="1"/>
    </xf>
    <xf numFmtId="0" fontId="11" fillId="9" borderId="5" applyAlignment="1" pivotButton="0" quotePrefix="0" xfId="0">
      <alignment horizontal="center" vertical="center"/>
    </xf>
    <xf numFmtId="0" fontId="11" fillId="10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0" fontId="13" fillId="9" borderId="5" applyAlignment="1" pivotButton="0" quotePrefix="0" xfId="6">
      <alignment horizontal="center" vertical="center"/>
    </xf>
    <xf numFmtId="0" fontId="13" fillId="10" borderId="5" applyAlignment="1" pivotButton="0" quotePrefix="0" xfId="6">
      <alignment horizontal="center" vertical="center"/>
    </xf>
    <xf numFmtId="0" fontId="14" fillId="9" borderId="5" applyAlignment="1" pivotButton="0" quotePrefix="0" xfId="0">
      <alignment horizontal="center" vertical="center"/>
    </xf>
    <xf numFmtId="0" fontId="14" fillId="10" borderId="5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14" fillId="10" borderId="6" applyAlignment="1" pivotButton="0" quotePrefix="0" xfId="0">
      <alignment horizontal="center" vertical="center"/>
    </xf>
    <xf numFmtId="0" fontId="14" fillId="9" borderId="7" applyAlignment="1" pivotButton="0" quotePrefix="0" xfId="0">
      <alignment horizontal="center" vertical="center"/>
    </xf>
    <xf numFmtId="0" fontId="14" fillId="10" borderId="7" applyAlignment="1" pivotButton="0" quotePrefix="0" xfId="0">
      <alignment horizontal="center" vertical="center"/>
    </xf>
    <xf numFmtId="0" fontId="14" fillId="9" borderId="8" applyAlignment="1" pivotButton="0" quotePrefix="0" xfId="0">
      <alignment horizontal="center" vertical="center"/>
    </xf>
    <xf numFmtId="0" fontId="14" fillId="10" borderId="8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0" fontId="5" fillId="10" borderId="6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5" fillId="10" borderId="7" applyAlignment="1" pivotButton="0" quotePrefix="0" xfId="0">
      <alignment horizontal="center" vertical="center"/>
    </xf>
    <xf numFmtId="0" fontId="5" fillId="9" borderId="8" applyAlignment="1" pivotButton="0" quotePrefix="0" xfId="0">
      <alignment horizontal="center" vertical="center"/>
    </xf>
    <xf numFmtId="0" fontId="5" fillId="10" borderId="8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 wrapText="1"/>
    </xf>
    <xf numFmtId="0" fontId="5" fillId="10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17" fillId="6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 wrapText="1"/>
    </xf>
    <xf numFmtId="0" fontId="18" fillId="6" borderId="5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/>
    </xf>
    <xf numFmtId="0" fontId="18" fillId="6" borderId="7" applyAlignment="1" pivotButton="0" quotePrefix="0" xfId="0">
      <alignment horizontal="center" vertical="center"/>
    </xf>
    <xf numFmtId="0" fontId="18" fillId="6" borderId="8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 wrapText="1"/>
    </xf>
    <xf numFmtId="0" fontId="17" fillId="8" borderId="5" applyAlignment="1" pivotButton="0" quotePrefix="0" xfId="0">
      <alignment horizontal="center" vertical="center"/>
    </xf>
    <xf numFmtId="0" fontId="17" fillId="11" borderId="5" applyAlignment="1" pivotButton="0" quotePrefix="0" xfId="0">
      <alignment horizontal="center" vertical="center"/>
    </xf>
    <xf numFmtId="0" fontId="18" fillId="8" borderId="5" applyAlignment="1" pivotButton="0" quotePrefix="0" xfId="0">
      <alignment horizontal="center" vertical="center"/>
    </xf>
    <xf numFmtId="0" fontId="18" fillId="11" borderId="5" applyAlignment="1" pivotButton="0" quotePrefix="0" xfId="0">
      <alignment horizontal="center" vertical="center"/>
    </xf>
    <xf numFmtId="0" fontId="17" fillId="8" borderId="6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17" fillId="11" borderId="6" applyAlignment="1" pivotButton="0" quotePrefix="0" xfId="0">
      <alignment horizontal="center" vertical="center"/>
    </xf>
    <xf numFmtId="0" fontId="17" fillId="8" borderId="7" applyAlignment="1" pivotButton="0" quotePrefix="0" xfId="0">
      <alignment horizontal="center" vertical="center"/>
    </xf>
    <xf numFmtId="0" fontId="17" fillId="11" borderId="7" applyAlignment="1" pivotButton="0" quotePrefix="0" xfId="0">
      <alignment horizontal="center" vertical="center"/>
    </xf>
    <xf numFmtId="0" fontId="17" fillId="8" borderId="8" applyAlignment="1" pivotButton="0" quotePrefix="0" xfId="0">
      <alignment horizontal="center" vertical="center"/>
    </xf>
    <xf numFmtId="0" fontId="17" fillId="11" borderId="8" applyAlignment="1" pivotButton="0" quotePrefix="0" xfId="0">
      <alignment horizontal="center" vertical="center"/>
    </xf>
    <xf numFmtId="0" fontId="20" fillId="11" borderId="6" applyAlignment="1" pivotButton="0" quotePrefix="0" xfId="0">
      <alignment horizontal="center" vertical="center"/>
    </xf>
    <xf numFmtId="0" fontId="20" fillId="11" borderId="7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0" fontId="18" fillId="8" borderId="6" applyAlignment="1" pivotButton="0" quotePrefix="0" xfId="0">
      <alignment horizontal="center" vertical="center"/>
    </xf>
    <xf numFmtId="0" fontId="18" fillId="11" borderId="6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/>
    </xf>
    <xf numFmtId="0" fontId="18" fillId="11" borderId="7" applyAlignment="1" pivotButton="0" quotePrefix="0" xfId="0">
      <alignment horizontal="center" vertical="center"/>
    </xf>
    <xf numFmtId="0" fontId="18" fillId="8" borderId="8" applyAlignment="1" pivotButton="0" quotePrefix="0" xfId="0">
      <alignment horizontal="center" vertical="center"/>
    </xf>
    <xf numFmtId="0" fontId="18" fillId="11" borderId="8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0" fontId="17" fillId="8" borderId="5" applyAlignment="1" pivotButton="0" quotePrefix="0" xfId="0">
      <alignment horizontal="center" vertical="center" wrapText="1"/>
    </xf>
    <xf numFmtId="0" fontId="17" fillId="11" borderId="5" applyAlignment="1" pivotButton="0" quotePrefix="0" xfId="0">
      <alignment horizontal="center" vertical="center" wrapText="1"/>
    </xf>
    <xf numFmtId="0" fontId="17" fillId="5" borderId="5" applyAlignment="1" pivotButton="0" quotePrefix="0" xfId="0">
      <alignment horizontal="center" vertical="center"/>
    </xf>
    <xf numFmtId="0" fontId="18" fillId="5" borderId="5" applyAlignment="1" pivotButton="0" quotePrefix="0" xfId="0">
      <alignment horizontal="center" vertical="center"/>
    </xf>
    <xf numFmtId="0" fontId="17" fillId="5" borderId="6" applyAlignment="1" pivotButton="0" quotePrefix="0" xfId="0">
      <alignment horizontal="center" vertical="center"/>
    </xf>
    <xf numFmtId="0" fontId="17" fillId="6" borderId="6" applyAlignment="1" pivotButton="0" quotePrefix="0" xfId="0">
      <alignment horizontal="center" vertical="center"/>
    </xf>
    <xf numFmtId="0" fontId="17" fillId="5" borderId="7" applyAlignment="1" pivotButton="0" quotePrefix="0" xfId="0">
      <alignment horizontal="center" vertical="center"/>
    </xf>
    <xf numFmtId="0" fontId="17" fillId="6" borderId="7" applyAlignment="1" pivotButton="0" quotePrefix="0" xfId="0">
      <alignment horizontal="center" vertical="center"/>
    </xf>
    <xf numFmtId="0" fontId="17" fillId="5" borderId="8" applyAlignment="1" pivotButton="0" quotePrefix="0" xfId="0">
      <alignment horizontal="center" vertical="center"/>
    </xf>
    <xf numFmtId="0" fontId="17" fillId="6" borderId="8" applyAlignment="1" pivotButton="0" quotePrefix="0" xfId="0">
      <alignment horizontal="center" vertical="center"/>
    </xf>
    <xf numFmtId="0" fontId="20" fillId="5" borderId="6" applyAlignment="1" pivotButton="0" quotePrefix="0" xfId="0">
      <alignment horizontal="center" vertical="center"/>
    </xf>
    <xf numFmtId="0" fontId="20" fillId="6" borderId="6" applyAlignment="1" pivotButton="0" quotePrefix="0" xfId="0">
      <alignment horizontal="center" vertical="center"/>
    </xf>
    <xf numFmtId="0" fontId="20" fillId="5" borderId="7" applyAlignment="1" pivotButton="0" quotePrefix="0" xfId="0">
      <alignment horizontal="center" vertical="center"/>
    </xf>
    <xf numFmtId="0" fontId="20" fillId="6" borderId="7" applyAlignment="1" pivotButton="0" quotePrefix="0" xfId="0">
      <alignment horizontal="center" vertical="center"/>
    </xf>
    <xf numFmtId="0" fontId="20" fillId="5" borderId="8" applyAlignment="1" pivotButton="0" quotePrefix="0" xfId="0">
      <alignment horizontal="center" vertical="center"/>
    </xf>
    <xf numFmtId="0" fontId="20" fillId="6" borderId="8" applyAlignment="1" pivotButton="0" quotePrefix="0" xfId="0">
      <alignment horizontal="center" vertical="center"/>
    </xf>
    <xf numFmtId="0" fontId="18" fillId="5" borderId="6" applyAlignment="1" pivotButton="0" quotePrefix="0" xfId="0">
      <alignment horizontal="center" vertical="center"/>
    </xf>
    <xf numFmtId="0" fontId="18" fillId="5" borderId="7" applyAlignment="1" pivotButton="0" quotePrefix="0" xfId="0">
      <alignment horizontal="center" vertical="center"/>
    </xf>
    <xf numFmtId="0" fontId="18" fillId="5" borderId="8" applyAlignment="1" pivotButton="0" quotePrefix="0" xfId="0">
      <alignment horizontal="center" vertical="center"/>
    </xf>
    <xf numFmtId="0" fontId="17" fillId="5" borderId="5" applyAlignment="1" pivotButton="0" quotePrefix="0" xfId="0">
      <alignment horizontal="center" vertical="center" wrapText="1"/>
    </xf>
    <xf numFmtId="0" fontId="20" fillId="8" borderId="6" applyAlignment="1" pivotButton="0" quotePrefix="0" xfId="0">
      <alignment horizontal="center" vertical="center"/>
    </xf>
    <xf numFmtId="0" fontId="20" fillId="8" borderId="7" applyAlignment="1" pivotButton="0" quotePrefix="0" xfId="0">
      <alignment horizontal="center" vertical="center"/>
    </xf>
    <xf numFmtId="0" fontId="20" fillId="8" borderId="8" applyAlignment="1" pivotButton="0" quotePrefix="0" xfId="0">
      <alignment horizontal="center" vertical="center"/>
    </xf>
    <xf numFmtId="0" fontId="17" fillId="4" borderId="5" applyAlignment="1" pivotButton="0" quotePrefix="0" xfId="0">
      <alignment horizontal="center" vertical="center"/>
    </xf>
    <xf numFmtId="0" fontId="17" fillId="12" borderId="5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0" fontId="18" fillId="12" borderId="5" applyAlignment="1" pivotButton="0" quotePrefix="0" xfId="0">
      <alignment horizontal="center" vertical="center"/>
    </xf>
    <xf numFmtId="0" fontId="17" fillId="4" borderId="6" applyAlignment="1" pivotButton="0" quotePrefix="0" xfId="0">
      <alignment horizontal="center" vertical="center"/>
    </xf>
    <xf numFmtId="0" fontId="17" fillId="12" borderId="6" applyAlignment="1" pivotButton="0" quotePrefix="0" xfId="0">
      <alignment horizontal="center" vertical="center"/>
    </xf>
    <xf numFmtId="0" fontId="17" fillId="4" borderId="7" applyAlignment="1" pivotButton="0" quotePrefix="0" xfId="0">
      <alignment horizontal="center" vertical="center"/>
    </xf>
    <xf numFmtId="0" fontId="17" fillId="12" borderId="7" applyAlignment="1" pivotButton="0" quotePrefix="0" xfId="0">
      <alignment horizontal="center" vertical="center"/>
    </xf>
    <xf numFmtId="0" fontId="17" fillId="4" borderId="8" applyAlignment="1" pivotButton="0" quotePrefix="0" xfId="0">
      <alignment horizontal="center" vertical="center"/>
    </xf>
    <xf numFmtId="0" fontId="17" fillId="12" borderId="8" applyAlignment="1" pivotButton="0" quotePrefix="0" xfId="0">
      <alignment horizontal="center" vertical="center"/>
    </xf>
    <xf numFmtId="0" fontId="20" fillId="4" borderId="6" applyAlignment="1" pivotButton="0" quotePrefix="0" xfId="0">
      <alignment horizontal="center" vertical="center"/>
    </xf>
    <xf numFmtId="0" fontId="20" fillId="12" borderId="6" applyAlignment="1" pivotButton="0" quotePrefix="0" xfId="0">
      <alignment horizontal="center" vertical="center"/>
    </xf>
    <xf numFmtId="0" fontId="20" fillId="4" borderId="7" applyAlignment="1" pivotButton="0" quotePrefix="0" xfId="0">
      <alignment horizontal="center" vertical="center"/>
    </xf>
    <xf numFmtId="0" fontId="20" fillId="12" borderId="7" applyAlignment="1" pivotButton="0" quotePrefix="0" xfId="0">
      <alignment horizontal="center" vertical="center"/>
    </xf>
    <xf numFmtId="0" fontId="20" fillId="4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0" fontId="18" fillId="4" borderId="6" applyAlignment="1" pivotButton="0" quotePrefix="0" xfId="0">
      <alignment horizontal="center" vertical="center"/>
    </xf>
    <xf numFmtId="0" fontId="18" fillId="12" borderId="6" applyAlignment="1" pivotButton="0" quotePrefix="0" xfId="0">
      <alignment horizontal="center" vertical="center"/>
    </xf>
    <xf numFmtId="0" fontId="18" fillId="4" borderId="7" applyAlignment="1" pivotButton="0" quotePrefix="0" xfId="0">
      <alignment horizontal="center" vertical="center"/>
    </xf>
    <xf numFmtId="0" fontId="18" fillId="12" borderId="7" applyAlignment="1" pivotButton="0" quotePrefix="0" xfId="0">
      <alignment horizontal="center" vertical="center"/>
    </xf>
    <xf numFmtId="0" fontId="18" fillId="4" borderId="8" applyAlignment="1" pivotButton="0" quotePrefix="0" xfId="0">
      <alignment horizontal="center" vertical="center"/>
    </xf>
    <xf numFmtId="0" fontId="18" fillId="12" borderId="8" applyAlignment="1" pivotButton="0" quotePrefix="0" xfId="0">
      <alignment horizontal="center" vertical="center"/>
    </xf>
    <xf numFmtId="0" fontId="17" fillId="4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1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0" borderId="3" applyAlignment="1" pivotButton="0" quotePrefix="0" xfId="6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0" fontId="11" fillId="5" borderId="5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5" borderId="8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center" vertical="center" wrapText="1"/>
    </xf>
    <xf numFmtId="0" fontId="3" fillId="7" borderId="7" applyAlignment="1" pivotButton="0" quotePrefix="0" xfId="0">
      <alignment horizontal="center" vertical="center" wrapText="1"/>
    </xf>
    <xf numFmtId="0" fontId="3" fillId="6" borderId="8" applyAlignment="1" pivotButton="0" quotePrefix="0" xfId="0">
      <alignment horizontal="center" vertical="center" wrapText="1"/>
    </xf>
    <xf numFmtId="0" fontId="3" fillId="7" borderId="8" applyAlignment="1" pivotButton="0" quotePrefix="0" xfId="0">
      <alignment horizontal="center" vertical="center" wrapText="1"/>
    </xf>
    <xf numFmtId="0" fontId="11" fillId="8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3" fillId="8" borderId="6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2" fillId="6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2" fillId="6" borderId="8" applyAlignment="1" pivotButton="0" quotePrefix="0" xfId="0">
      <alignment horizontal="center" vertical="center" wrapText="1"/>
    </xf>
    <xf numFmtId="0" fontId="10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 wrapText="1"/>
    </xf>
    <xf numFmtId="0" fontId="5" fillId="10" borderId="6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5" fillId="10" borderId="7" applyAlignment="1" pivotButton="0" quotePrefix="0" xfId="0">
      <alignment horizontal="center" vertical="center" wrapText="1"/>
    </xf>
    <xf numFmtId="0" fontId="5" fillId="9" borderId="8" applyAlignment="1" pivotButton="0" quotePrefix="0" xfId="0">
      <alignment horizontal="center" vertical="center" wrapText="1"/>
    </xf>
    <xf numFmtId="0" fontId="5" fillId="10" borderId="8" applyAlignment="1" pivotButton="0" quotePrefix="0" xfId="0">
      <alignment horizontal="center" vertical="center" wrapText="1"/>
    </xf>
    <xf numFmtId="0" fontId="18" fillId="6" borderId="6" applyAlignment="1" pivotButton="0" quotePrefix="0" xfId="0">
      <alignment horizontal="center" vertical="center" wrapText="1"/>
    </xf>
    <xf numFmtId="0" fontId="18" fillId="6" borderId="7" applyAlignment="1" pivotButton="0" quotePrefix="0" xfId="0">
      <alignment horizontal="center" vertical="center" wrapText="1"/>
    </xf>
    <xf numFmtId="0" fontId="18" fillId="6" borderId="8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8" fillId="8" borderId="6" applyAlignment="1" pivotButton="0" quotePrefix="0" xfId="0">
      <alignment horizontal="center" vertical="center" wrapText="1"/>
    </xf>
    <xf numFmtId="0" fontId="18" fillId="11" borderId="6" applyAlignment="1" pivotButton="0" quotePrefix="0" xfId="0">
      <alignment horizontal="center" vertical="center" wrapText="1"/>
    </xf>
    <xf numFmtId="0" fontId="18" fillId="8" borderId="7" applyAlignment="1" pivotButton="0" quotePrefix="0" xfId="0">
      <alignment horizontal="center" vertical="center" wrapText="1"/>
    </xf>
    <xf numFmtId="0" fontId="18" fillId="11" borderId="7" applyAlignment="1" pivotButton="0" quotePrefix="0" xfId="0">
      <alignment horizontal="center" vertical="center" wrapText="1"/>
    </xf>
    <xf numFmtId="0" fontId="18" fillId="8" borderId="8" applyAlignment="1" pivotButton="0" quotePrefix="0" xfId="0">
      <alignment horizontal="center" vertical="center" wrapText="1"/>
    </xf>
    <xf numFmtId="0" fontId="18" fillId="11" borderId="8" applyAlignment="1" pivotButton="0" quotePrefix="0" xfId="0">
      <alignment horizontal="center" vertical="center" wrapText="1"/>
    </xf>
    <xf numFmtId="0" fontId="18" fillId="5" borderId="6" applyAlignment="1" pivotButton="0" quotePrefix="0" xfId="0">
      <alignment horizontal="center" vertical="center" wrapText="1"/>
    </xf>
    <xf numFmtId="0" fontId="18" fillId="5" borderId="7" applyAlignment="1" pivotButton="0" quotePrefix="0" xfId="0">
      <alignment horizontal="center" vertical="center" wrapText="1"/>
    </xf>
    <xf numFmtId="0" fontId="18" fillId="5" borderId="8" applyAlignment="1" pivotButton="0" quotePrefix="0" xfId="0">
      <alignment horizontal="center" vertical="center" wrapText="1"/>
    </xf>
    <xf numFmtId="0" fontId="18" fillId="4" borderId="6" applyAlignment="1" pivotButton="0" quotePrefix="0" xfId="0">
      <alignment horizontal="center" vertical="center" wrapText="1"/>
    </xf>
    <xf numFmtId="0" fontId="18" fillId="12" borderId="6" applyAlignment="1" pivotButton="0" quotePrefix="0" xfId="0">
      <alignment horizontal="center" vertical="center" wrapText="1"/>
    </xf>
    <xf numFmtId="0" fontId="18" fillId="4" borderId="7" applyAlignment="1" pivotButton="0" quotePrefix="0" xfId="0">
      <alignment horizontal="center" vertical="center" wrapText="1"/>
    </xf>
    <xf numFmtId="0" fontId="18" fillId="12" borderId="7" applyAlignment="1" pivotButton="0" quotePrefix="0" xfId="0">
      <alignment horizontal="center" vertical="center" wrapText="1"/>
    </xf>
    <xf numFmtId="0" fontId="18" fillId="4" borderId="8" applyAlignment="1" pivotButton="0" quotePrefix="0" xfId="0">
      <alignment horizontal="center" vertical="center" wrapText="1"/>
    </xf>
    <xf numFmtId="0" fontId="18" fillId="12" borderId="8" applyAlignment="1" pivotButton="0" quotePrefix="0" xfId="0">
      <alignment horizontal="center" vertical="center" wrapText="1"/>
    </xf>
    <xf numFmtId="58" fontId="4" fillId="2" borderId="1" applyAlignment="1" pivotButton="0" quotePrefix="0" xfId="0">
      <alignment horizontal="left" vertical="center" wrapText="1"/>
    </xf>
    <xf numFmtId="49" fontId="2" fillId="2" borderId="2" applyAlignment="1" pivotButton="0" quotePrefix="0" xfId="0">
      <alignment horizontal="center" vertical="center"/>
    </xf>
    <xf numFmtId="49" fontId="2" fillId="2" borderId="3" applyAlignment="1" pivotButton="0" quotePrefix="0" xfId="0">
      <alignment horizontal="center" vertical="center"/>
    </xf>
    <xf numFmtId="49" fontId="2" fillId="2" borderId="4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3" fillId="5" borderId="5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4" fillId="5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23" fillId="7" borderId="5" applyAlignment="1" pivotButton="0" quotePrefix="0" xfId="0">
      <alignment horizontal="center" vertical="center"/>
    </xf>
    <xf numFmtId="0" fontId="23" fillId="8" borderId="5" applyAlignment="1" pivotButton="0" quotePrefix="0" xfId="0">
      <alignment horizontal="center" vertical="center"/>
    </xf>
    <xf numFmtId="0" fontId="25" fillId="6" borderId="5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 wrapText="1"/>
    </xf>
    <xf numFmtId="0" fontId="26" fillId="0" borderId="3" applyAlignment="1" pivotButton="0" quotePrefix="0" xfId="0">
      <alignment horizontal="center" vertical="center" wrapText="1"/>
    </xf>
    <xf numFmtId="0" fontId="26" fillId="0" borderId="4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/>
    </xf>
    <xf numFmtId="0" fontId="27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27" fillId="1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28" fillId="0" borderId="1" applyAlignment="1" pivotButton="0" quotePrefix="0" xfId="6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2" fillId="6" borderId="5" applyAlignment="1" pivotButton="0" quotePrefix="0" xfId="0">
      <alignment horizontal="left" vertical="center" wrapText="1"/>
    </xf>
    <xf numFmtId="164" fontId="2" fillId="6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5" fillId="9" borderId="5" applyAlignment="1" pivotButton="0" quotePrefix="0" xfId="0">
      <alignment horizontal="left" vertical="center" wrapText="1"/>
    </xf>
    <xf numFmtId="164" fontId="5" fillId="9" borderId="5" applyAlignment="1" pivotButton="0" quotePrefix="0" xfId="0">
      <alignment horizontal="center" vertical="center" wrapText="1"/>
    </xf>
    <xf numFmtId="164" fontId="5" fillId="10" borderId="5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7" fillId="6" borderId="6" applyAlignment="1" pivotButton="0" quotePrefix="0" xfId="0">
      <alignment horizontal="center" vertical="center" wrapText="1"/>
    </xf>
    <xf numFmtId="0" fontId="17" fillId="6" borderId="7" applyAlignment="1" pivotButton="0" quotePrefix="0" xfId="0">
      <alignment horizontal="center" vertical="center" wrapText="1"/>
    </xf>
    <xf numFmtId="0" fontId="17" fillId="6" borderId="8" applyAlignment="1" pivotButton="0" quotePrefix="0" xfId="0">
      <alignment horizontal="center" vertical="center" wrapText="1"/>
    </xf>
    <xf numFmtId="164" fontId="17" fillId="6" borderId="5" applyAlignment="1" pivotButton="0" quotePrefix="0" xfId="0">
      <alignment horizontal="center" vertical="center" wrapText="1"/>
    </xf>
    <xf numFmtId="164" fontId="18" fillId="6" borderId="5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17" fillId="6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7" fillId="8" borderId="6" applyAlignment="1" pivotButton="0" quotePrefix="0" xfId="0">
      <alignment horizontal="center" vertical="center" wrapText="1"/>
    </xf>
    <xf numFmtId="0" fontId="17" fillId="11" borderId="6" applyAlignment="1" pivotButton="0" quotePrefix="0" xfId="0">
      <alignment horizontal="center" vertical="center" wrapText="1"/>
    </xf>
    <xf numFmtId="0" fontId="17" fillId="8" borderId="7" applyAlignment="1" pivotButton="0" quotePrefix="0" xfId="0">
      <alignment horizontal="center" vertical="center" wrapText="1"/>
    </xf>
    <xf numFmtId="0" fontId="17" fillId="11" borderId="7" applyAlignment="1" pivotButton="0" quotePrefix="0" xfId="0">
      <alignment horizontal="center" vertical="center" wrapText="1"/>
    </xf>
    <xf numFmtId="0" fontId="17" fillId="8" borderId="8" applyAlignment="1" pivotButton="0" quotePrefix="0" xfId="0">
      <alignment horizontal="center" vertical="center" wrapText="1"/>
    </xf>
    <xf numFmtId="0" fontId="17" fillId="11" borderId="8" applyAlignment="1" pivotButton="0" quotePrefix="0" xfId="0">
      <alignment horizontal="center" vertical="center" wrapText="1"/>
    </xf>
    <xf numFmtId="164" fontId="17" fillId="8" borderId="5" applyAlignment="1" pivotButton="0" quotePrefix="0" xfId="0">
      <alignment horizontal="center" vertical="center" wrapText="1"/>
    </xf>
    <xf numFmtId="164" fontId="17" fillId="11" borderId="5" applyAlignment="1" pivotButton="0" quotePrefix="0" xfId="0">
      <alignment horizontal="center" vertical="center" wrapText="1"/>
    </xf>
    <xf numFmtId="164" fontId="18" fillId="8" borderId="5" applyAlignment="1" pivotButton="0" quotePrefix="0" xfId="0">
      <alignment horizontal="center" vertical="center" wrapText="1"/>
    </xf>
    <xf numFmtId="164" fontId="18" fillId="11" borderId="5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/>
    </xf>
    <xf numFmtId="0" fontId="17" fillId="5" borderId="6" applyAlignment="1" pivotButton="0" quotePrefix="0" xfId="0">
      <alignment horizontal="center" vertical="center" wrapText="1"/>
    </xf>
    <xf numFmtId="0" fontId="17" fillId="5" borderId="7" applyAlignment="1" pivotButton="0" quotePrefix="0" xfId="0">
      <alignment horizontal="center" vertical="center" wrapText="1"/>
    </xf>
    <xf numFmtId="0" fontId="17" fillId="5" borderId="8" applyAlignment="1" pivotButton="0" quotePrefix="0" xfId="0">
      <alignment horizontal="center" vertical="center" wrapText="1"/>
    </xf>
    <xf numFmtId="164" fontId="17" fillId="5" borderId="5" applyAlignment="1" pivotButton="0" quotePrefix="0" xfId="0">
      <alignment horizontal="center" vertical="center" wrapText="1"/>
    </xf>
    <xf numFmtId="164" fontId="18" fillId="5" borderId="5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17" fillId="4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 vertical="center" wrapText="1"/>
    </xf>
    <xf numFmtId="0" fontId="17" fillId="4" borderId="7" applyAlignment="1" pivotButton="0" quotePrefix="0" xfId="0">
      <alignment horizontal="center" vertical="center" wrapText="1"/>
    </xf>
    <xf numFmtId="0" fontId="17" fillId="12" borderId="7" applyAlignment="1" pivotButton="0" quotePrefix="0" xfId="0">
      <alignment horizontal="center" vertical="center" wrapText="1"/>
    </xf>
    <xf numFmtId="0" fontId="17" fillId="4" borderId="8" applyAlignment="1" pivotButton="0" quotePrefix="0" xfId="0">
      <alignment horizontal="center" vertical="center" wrapText="1"/>
    </xf>
    <xf numFmtId="0" fontId="17" fillId="12" borderId="8" applyAlignment="1" pivotButton="0" quotePrefix="0" xfId="0">
      <alignment horizontal="center" vertical="center" wrapText="1"/>
    </xf>
    <xf numFmtId="164" fontId="17" fillId="4" borderId="5" applyAlignment="1" pivotButton="0" quotePrefix="0" xfId="0">
      <alignment horizontal="center" vertical="center" wrapText="1"/>
    </xf>
    <xf numFmtId="164" fontId="17" fillId="12" borderId="5" applyAlignment="1" pivotButton="0" quotePrefix="0" xfId="0">
      <alignment horizontal="center" vertical="center" wrapText="1"/>
    </xf>
    <xf numFmtId="164" fontId="18" fillId="4" borderId="5" applyAlignment="1" pivotButton="0" quotePrefix="0" xfId="0">
      <alignment horizontal="center" vertical="center" wrapText="1"/>
    </xf>
    <xf numFmtId="164" fontId="18" fillId="12" borderId="5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5" fillId="10" borderId="3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center" vertical="center" wrapText="1"/>
    </xf>
    <xf numFmtId="0" fontId="5" fillId="10" borderId="4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9" borderId="6" applyAlignment="1" pivotButton="0" quotePrefix="0" xfId="0">
      <alignment horizontal="left" vertical="center" wrapText="1"/>
    </xf>
    <xf numFmtId="0" fontId="5" fillId="10" borderId="6" applyAlignment="1" pivotButton="0" quotePrefix="0" xfId="0">
      <alignment horizontal="left" vertical="center" wrapText="1"/>
    </xf>
    <xf numFmtId="0" fontId="18" fillId="6" borderId="2" applyAlignment="1" pivotButton="0" quotePrefix="0" xfId="0">
      <alignment horizontal="center" vertical="center" wrapText="1"/>
    </xf>
    <xf numFmtId="0" fontId="18" fillId="6" borderId="3" applyAlignment="1" pivotButton="0" quotePrefix="0" xfId="0">
      <alignment horizontal="center" vertical="center" wrapText="1"/>
    </xf>
    <xf numFmtId="0" fontId="18" fillId="6" borderId="4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8" borderId="2" applyAlignment="1" pivotButton="0" quotePrefix="0" xfId="0">
      <alignment horizontal="center" vertical="center" wrapText="1"/>
    </xf>
    <xf numFmtId="0" fontId="18" fillId="11" borderId="2" applyAlignment="1" pivotButton="0" quotePrefix="0" xfId="0">
      <alignment horizontal="center" vertical="center" wrapText="1"/>
    </xf>
    <xf numFmtId="0" fontId="18" fillId="8" borderId="3" applyAlignment="1" pivotButton="0" quotePrefix="0" xfId="0">
      <alignment horizontal="center" vertical="center" wrapText="1"/>
    </xf>
    <xf numFmtId="0" fontId="18" fillId="11" borderId="3" applyAlignment="1" pivotButton="0" quotePrefix="0" xfId="0">
      <alignment horizontal="center" vertical="center" wrapText="1"/>
    </xf>
    <xf numFmtId="0" fontId="18" fillId="8" borderId="4" applyAlignment="1" pivotButton="0" quotePrefix="0" xfId="0">
      <alignment horizontal="center" vertical="center" wrapText="1"/>
    </xf>
    <xf numFmtId="0" fontId="18" fillId="11" borderId="4" applyAlignment="1" pivotButton="0" quotePrefix="0" xfId="0">
      <alignment horizontal="center" vertical="center" wrapText="1"/>
    </xf>
    <xf numFmtId="0" fontId="17" fillId="8" borderId="6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vertical="center" wrapText="1"/>
    </xf>
    <xf numFmtId="0" fontId="17" fillId="11" borderId="6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center" vertical="center" wrapText="1"/>
    </xf>
    <xf numFmtId="0" fontId="18" fillId="5" borderId="3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7" fillId="5" borderId="6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4" borderId="2" applyAlignment="1" pivotButton="0" quotePrefix="0" xfId="0">
      <alignment horizontal="center" vertical="center" wrapText="1"/>
    </xf>
    <xf numFmtId="0" fontId="18" fillId="12" borderId="2" applyAlignment="1" pivotButton="0" quotePrefix="0" xfId="0">
      <alignment horizontal="center" vertical="center" wrapText="1"/>
    </xf>
    <xf numFmtId="0" fontId="18" fillId="4" borderId="3" applyAlignment="1" pivotButton="0" quotePrefix="0" xfId="0">
      <alignment horizontal="center" vertical="center" wrapText="1"/>
    </xf>
    <xf numFmtId="0" fontId="18" fillId="12" borderId="3" applyAlignment="1" pivotButton="0" quotePrefix="0" xfId="0">
      <alignment horizontal="center" vertical="center" wrapText="1"/>
    </xf>
    <xf numFmtId="0" fontId="18" fillId="4" borderId="4" applyAlignment="1" pivotButton="0" quotePrefix="0" xfId="0">
      <alignment horizontal="center" vertical="center" wrapText="1"/>
    </xf>
    <xf numFmtId="0" fontId="18" fillId="12" borderId="4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17" fillId="4" borderId="6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7" fillId="12" borderId="6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2" pivotButton="0" quotePrefix="0" xfId="0"/>
    <xf numFmtId="0" fontId="0" fillId="0" borderId="9" pivotButton="0" quotePrefix="0" xfId="0"/>
    <xf numFmtId="0" fontId="16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4" fillId="2" borderId="1" applyAlignment="1" pivotButton="0" quotePrefix="0" xfId="0">
      <alignment horizontal="center" vertical="center" wrapText="1"/>
    </xf>
    <xf numFmtId="0" fontId="20" fillId="11" borderId="5" applyAlignment="1" pivotButton="0" quotePrefix="0" xfId="0">
      <alignment horizontal="center" vertical="center"/>
    </xf>
    <xf numFmtId="0" fontId="20" fillId="5" borderId="5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20" fillId="8" borderId="5" applyAlignment="1" pivotButton="0" quotePrefix="0" xfId="0">
      <alignment horizontal="center" vertical="center"/>
    </xf>
    <xf numFmtId="0" fontId="20" fillId="4" borderId="5" applyAlignment="1" pivotButton="0" quotePrefix="0" xfId="0">
      <alignment horizontal="center" vertical="center"/>
    </xf>
    <xf numFmtId="0" fontId="20" fillId="12" borderId="5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detail.1688.com/offer/618469986829.html?_t=1731392792455&amp;spm=a2615.7691456.co_0_0_wangpu_score_0_0_0_0_0_0_0000_0.0" TargetMode="External" Id="rId1"/><Relationship Type="http://schemas.openxmlformats.org/officeDocument/2006/relationships/hyperlink" Target="https://detail.1688.com/offer/842197098635.html?_t=1731395210276&amp;spm=a2615.7691456.co_1_0_wangpu_score_0_0_0_0_0_0_0000_0.0" TargetMode="External" Id="rId2"/><Relationship Type="http://schemas.openxmlformats.org/officeDocument/2006/relationships/hyperlink" Target="https://detail.1688.com/offer/846213691265.html?_t=1731395274213&amp;spm=a2615.7691456.co_1_0_wangpu_score_0_0_0_0_0_0_0000_0.0" TargetMode="External" Id="rId3"/><Relationship Type="http://schemas.openxmlformats.org/officeDocument/2006/relationships/hyperlink" Target="https://detail.1688.com/offer/617671320043.html?_t=1732790000457&amp;spm=a2615.7691456.co_0_0_wangpu_score_0_0_0_0_0_0_0000_1.0" TargetMode="External" Id="rId4"/><Relationship Type="http://schemas.openxmlformats.org/officeDocument/2006/relationships/hyperlink" Target="https://detail.1688.com/offer/657996898326.html?_t=1731395469207&amp;spm=a2615.7691456.co_1_0_wangpu_score_0_0_0_0_0_0_0000_0.0" TargetMode="External" Id="rId5"/><Relationship Type="http://schemas.openxmlformats.org/officeDocument/2006/relationships/hyperlink" Target="https://detail.1688.com/offer/617837893058.html?_t=1731392024147&amp;spm=a2615.7691456.co_0_0_wangpu_score_0_0_0_0_0_0_0000_0.0" TargetMode="External" Id="rId6"/><Relationship Type="http://schemas.openxmlformats.org/officeDocument/2006/relationships/hyperlink" Target="https://detail.1688.com/offer/650524577801.html?_t=1732839689427&amp;spm=a2615.7691456.co_0_0_tradenumdown_0_0_0_0_0_0_0000_0.0" TargetMode="External" Id="rId7"/><Relationship Type="http://schemas.openxmlformats.org/officeDocument/2006/relationships/hyperlink" Target="https://detail.1688.com/offer/833525839872.html?_t=1731398510739&amp;spm=a2615.7691456.co_1_0_wangpu_score_0_0_0_0_0_0_0000_0.0" TargetMode="External" Id="rId8"/><Relationship Type="http://schemas.openxmlformats.org/officeDocument/2006/relationships/hyperlink" Target="https://detail.1688.com/offer/722785857582.html?_t=1731392325741&amp;spm=a2615.7691456.co_0_0_wangpu_score_0_0_0_0_0_0_0000_0.0" TargetMode="External" Id="rId9"/><Relationship Type="http://schemas.openxmlformats.org/officeDocument/2006/relationships/hyperlink" Target="https://detail.1688.com/offer/716290605412.html?_t=1731394821099&amp;spm=a2615.7691456.co_1_0_wangpu_score_0_0_0_0_0_0_0000_0.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2"/>
  <sheetViews>
    <sheetView tabSelected="1" workbookViewId="0">
      <selection activeCell="L2" sqref="L2"/>
    </sheetView>
  </sheetViews>
  <sheetFormatPr baseColWidth="8" defaultColWidth="9.23076923076923" defaultRowHeight="16.8"/>
  <sheetData>
    <row r="1" ht="23.2" customHeight="1" s="418">
      <c r="A1" s="1" t="inlineStr">
        <is>
          <t>广州菲碧皮具有限公司</t>
        </is>
      </c>
      <c r="B1" s="419" t="n"/>
      <c r="C1" s="419" t="n"/>
      <c r="D1" s="419" t="n"/>
      <c r="E1" s="419" t="n"/>
      <c r="F1" s="419" t="n"/>
      <c r="G1" s="419" t="n"/>
      <c r="H1" s="419" t="n"/>
      <c r="I1" s="419" t="n"/>
      <c r="J1" s="419" t="n"/>
      <c r="K1" s="419" t="n"/>
      <c r="L1" s="419" t="n"/>
      <c r="M1" s="419" t="n"/>
      <c r="N1" s="419" t="n"/>
      <c r="O1" s="419" t="n"/>
      <c r="P1" s="419" t="n"/>
      <c r="Q1" s="419" t="n"/>
      <c r="R1" s="419" t="n"/>
      <c r="S1" s="419" t="n"/>
      <c r="T1" s="419" t="n"/>
      <c r="U1" s="419" t="n"/>
      <c r="V1" s="419" t="n"/>
      <c r="W1" s="419" t="n"/>
      <c r="X1" s="419" t="n"/>
      <c r="Y1" s="419" t="n"/>
      <c r="Z1" s="419" t="n"/>
      <c r="AA1" s="419" t="n"/>
      <c r="AB1" s="419" t="n"/>
      <c r="AC1" s="419" t="n"/>
      <c r="AD1" s="419" t="n"/>
      <c r="AE1" s="419" t="n"/>
      <c r="AF1" s="419" t="n"/>
      <c r="AG1" s="419" t="n"/>
      <c r="AH1" s="419" t="n"/>
      <c r="AI1" s="419" t="n"/>
      <c r="AJ1" s="419" t="n"/>
      <c r="AK1" s="419" t="n"/>
      <c r="AL1" s="419" t="n"/>
      <c r="AM1" s="419" t="n"/>
      <c r="AN1" s="419" t="n"/>
      <c r="AO1" s="419" t="n"/>
      <c r="AP1" s="419" t="n"/>
      <c r="AQ1" s="419" t="n"/>
      <c r="AR1" s="419" t="n"/>
      <c r="AS1" s="419" t="n"/>
      <c r="AT1" s="419" t="n"/>
      <c r="AU1" s="419" t="n"/>
      <c r="AV1" s="419" t="n"/>
      <c r="AW1" s="419" t="n"/>
      <c r="AX1" s="419" t="n"/>
      <c r="AY1" s="419" t="n"/>
      <c r="AZ1" s="419" t="n"/>
      <c r="BA1" s="419" t="n"/>
      <c r="BB1" s="419" t="n"/>
      <c r="BC1" s="419" t="n"/>
      <c r="BD1" s="419" t="n"/>
      <c r="BE1" s="419" t="n"/>
      <c r="BF1" s="419" t="n"/>
      <c r="BG1" s="419" t="n"/>
      <c r="BH1" s="419" t="n"/>
      <c r="BI1" s="419" t="n"/>
      <c r="BJ1" s="419" t="n"/>
      <c r="BK1" s="419" t="n"/>
      <c r="BL1" s="419" t="n"/>
      <c r="BM1" s="419" t="n"/>
      <c r="BN1" s="420" t="n"/>
      <c r="BO1" s="187" t="n">
        <v>196</v>
      </c>
    </row>
    <row r="2" ht="118" customHeight="1" s="418">
      <c r="A2" s="2" t="inlineStr">
        <is>
          <t>型号</t>
        </is>
      </c>
      <c r="B2" s="2" t="inlineStr">
        <is>
          <t>颜色</t>
        </is>
      </c>
      <c r="C2" s="3" t="inlineStr">
        <is>
          <t>一年内
销量</t>
        </is>
      </c>
      <c r="D2" s="2" t="inlineStr">
        <is>
          <t>图片</t>
        </is>
      </c>
      <c r="E2" s="3" t="inlineStr">
        <is>
          <t>（阶梯式）
起订量</t>
        </is>
      </c>
      <c r="F2" s="3" t="inlineStr">
        <is>
          <t>1688价格
11/29</t>
        </is>
      </c>
      <c r="G2" s="3" t="inlineStr">
        <is>
          <t>1688价格
3/7</t>
        </is>
      </c>
      <c r="H2" s="3" t="inlineStr">
        <is>
          <t>PLUS会员
95折3/7</t>
        </is>
      </c>
      <c r="I2" s="3" t="inlineStr">
        <is>
          <t>1688价格
3/14</t>
        </is>
      </c>
      <c r="J2" s="3" t="inlineStr">
        <is>
          <t>PLUS会员
95折3/14</t>
        </is>
      </c>
      <c r="K2" s="3" t="inlineStr">
        <is>
          <t>1688价格3/18</t>
        </is>
      </c>
      <c r="L2" s="3" t="inlineStr">
        <is>
          <t>PLUS会员
95折3/18</t>
        </is>
      </c>
      <c r="M2" s="3" t="inlineStr">
        <is>
          <t>1688价格3/26</t>
        </is>
      </c>
      <c r="N2" s="27" t="inlineStr">
        <is>
          <t>PLUS会员
95折3/26</t>
        </is>
      </c>
      <c r="O2" s="27" t="inlineStr">
        <is>
          <t>1688价格4/3</t>
        </is>
      </c>
      <c r="P2" s="3" t="inlineStr">
        <is>
          <t>PLUS会员
95折4/3</t>
        </is>
      </c>
      <c r="Q2" s="27" t="inlineStr">
        <is>
          <t>1688价格4/11</t>
        </is>
      </c>
      <c r="R2" s="3" t="inlineStr">
        <is>
          <t>PLUS会员
95折4/11</t>
        </is>
      </c>
      <c r="S2" s="27" t="inlineStr">
        <is>
          <t>1688价格4/17</t>
        </is>
      </c>
      <c r="T2" s="3" t="inlineStr">
        <is>
          <t>PLUS会员
95折4/17</t>
        </is>
      </c>
      <c r="U2" s="27" t="inlineStr">
        <is>
          <t>1688价格4/23</t>
        </is>
      </c>
      <c r="V2" s="3" t="inlineStr">
        <is>
          <t>PLUS会员
95折4/23</t>
        </is>
      </c>
      <c r="W2" s="27" t="inlineStr">
        <is>
          <t>1688价格5/16</t>
        </is>
      </c>
      <c r="X2" s="3" t="inlineStr">
        <is>
          <t>PLUS会员
95折5/16</t>
        </is>
      </c>
      <c r="Y2" s="27" t="inlineStr">
        <is>
          <t>1688价格5/30</t>
        </is>
      </c>
      <c r="Z2" s="3" t="inlineStr">
        <is>
          <t>PLUS会员
95折5/30</t>
        </is>
      </c>
      <c r="AA2" s="27" t="inlineStr">
        <is>
          <t>1688价格6/07</t>
        </is>
      </c>
      <c r="AB2" s="3" t="inlineStr">
        <is>
          <t>PLUS会员
95折6/07</t>
        </is>
      </c>
      <c r="AC2" s="3" t="inlineStr">
        <is>
          <t>拼多多
1.赤兔皮具
2.菲碧包你满意</t>
        </is>
      </c>
      <c r="AD2" s="3" t="inlineStr">
        <is>
          <t>定制时间500/1000/2000个时间？ 价格？包装？</t>
        </is>
      </c>
      <c r="AE2" s="3" t="inlineStr">
        <is>
          <t>是否可以接受验厂？工厂地址？信息？</t>
        </is>
      </c>
      <c r="AF2" s="3" t="inlineStr">
        <is>
          <t>定制报价
（阶梯式）起订量</t>
        </is>
      </c>
      <c r="AG2" s="3" t="inlineStr">
        <is>
          <t>PLUS会员
95折</t>
        </is>
      </c>
      <c r="AH2" s="3" t="inlineStr">
        <is>
          <t>包装 
OPP/纸盒</t>
        </is>
      </c>
      <c r="AI2" s="2" t="inlineStr">
        <is>
          <t>备注</t>
        </is>
      </c>
      <c r="AJ2" s="110" t="inlineStr">
        <is>
          <t>1688价格6/21</t>
        </is>
      </c>
      <c r="AK2" s="3" t="inlineStr">
        <is>
          <t>PLUS会员
95折6/21</t>
        </is>
      </c>
      <c r="AL2" s="110" t="inlineStr">
        <is>
          <t>1688价格6/24</t>
        </is>
      </c>
      <c r="AM2" s="3" t="inlineStr">
        <is>
          <t>PLUS会员
95折6/24</t>
        </is>
      </c>
      <c r="AN2" s="110" t="inlineStr">
        <is>
          <t>1688价格7/22</t>
        </is>
      </c>
      <c r="AO2" s="3" t="inlineStr">
        <is>
          <t>PLUS会员
95折7/22</t>
        </is>
      </c>
      <c r="AP2" s="110" t="inlineStr">
        <is>
          <t>1688价格8/07</t>
        </is>
      </c>
      <c r="AQ2" s="3" t="inlineStr">
        <is>
          <t>PLUS会员
95折8/07</t>
        </is>
      </c>
      <c r="AR2" s="110" t="inlineStr">
        <is>
          <t>1688价格8/14</t>
        </is>
      </c>
      <c r="AS2" s="3" t="inlineStr">
        <is>
          <t>PLUS会员
95折8/14</t>
        </is>
      </c>
      <c r="AT2" s="110" t="inlineStr">
        <is>
          <t>1688价格8/21</t>
        </is>
      </c>
      <c r="AU2" s="3" t="inlineStr">
        <is>
          <t>PLUS会员
95折8/21</t>
        </is>
      </c>
      <c r="AV2" s="110" t="inlineStr">
        <is>
          <t>1688价格9/03</t>
        </is>
      </c>
      <c r="AW2" s="3" t="inlineStr">
        <is>
          <t>PLUS会员
95折9/03</t>
        </is>
      </c>
      <c r="AX2" s="110" t="inlineStr">
        <is>
          <t>1688价格9/25</t>
        </is>
      </c>
      <c r="AY2" s="3" t="inlineStr">
        <is>
          <t>PLUS会员
95折9/25</t>
        </is>
      </c>
      <c r="AZ2" s="110" t="inlineStr">
        <is>
          <t>1688价格10/16</t>
        </is>
      </c>
      <c r="BA2" s="3" t="inlineStr">
        <is>
          <t>PLUS会员
95折10/16</t>
        </is>
      </c>
      <c r="BB2" s="110" t="inlineStr">
        <is>
          <t>1688价格10/29</t>
        </is>
      </c>
      <c r="BC2" s="3" t="inlineStr">
        <is>
          <t>PLUS会员
95折10/29</t>
        </is>
      </c>
      <c r="BD2" s="110" t="inlineStr">
        <is>
          <t>1688价格11/05</t>
        </is>
      </c>
      <c r="BE2" s="3" t="inlineStr">
        <is>
          <t>PLUS会员
95折11/05</t>
        </is>
      </c>
      <c r="BF2" s="110" t="inlineStr">
        <is>
          <t>1688价格11/12</t>
        </is>
      </c>
      <c r="BG2" s="3" t="inlineStr">
        <is>
          <t>PLUS会员
95折11/12</t>
        </is>
      </c>
      <c r="BH2" s="110" t="inlineStr">
        <is>
          <t>1688价格11/19</t>
        </is>
      </c>
      <c r="BI2" s="3" t="inlineStr">
        <is>
          <t>PLUS会员
95折11/19</t>
        </is>
      </c>
      <c r="BJ2" s="110" t="inlineStr">
        <is>
          <t>1688价格12/04</t>
        </is>
      </c>
      <c r="BK2" s="3" t="inlineStr">
        <is>
          <t>PLUS会员
95折12/04</t>
        </is>
      </c>
      <c r="BL2" s="110" t="inlineStr">
        <is>
          <t>1688价格12/26</t>
        </is>
      </c>
      <c r="BM2" s="3" t="inlineStr">
        <is>
          <t>PLUS会员
95折12/26</t>
        </is>
      </c>
      <c r="BN2" s="3" t="inlineStr">
        <is>
          <t>链接</t>
        </is>
      </c>
      <c r="BO2" s="188" t="n"/>
    </row>
    <row r="3" ht="17" customHeight="1" s="418">
      <c r="A3" s="4" t="inlineStr">
        <is>
          <t>mini8/9/11/12</t>
        </is>
      </c>
      <c r="B3" s="4" t="inlineStr">
        <is>
          <t xml:space="preserve">
卡通兔子糖果
布小熊
</t>
        </is>
      </c>
      <c r="C3" s="5" t="inlineStr">
        <is>
          <t>500+</t>
        </is>
      </c>
      <c r="D3" s="2">
        <f>_xlfn.DISPIMG("ID_6317DB9DB8894396802E20B5542E18E1",1)</f>
        <v/>
      </c>
      <c r="E3" s="15" t="inlineStr">
        <is>
          <t xml:space="preserve">1-499      </t>
        </is>
      </c>
      <c r="F3" s="16" t="n">
        <v>22</v>
      </c>
      <c r="G3" s="16" t="n">
        <v>22</v>
      </c>
      <c r="H3" s="5" t="inlineStr">
        <is>
          <t>无</t>
        </is>
      </c>
      <c r="I3" s="16" t="n">
        <v>22</v>
      </c>
      <c r="J3" s="5" t="inlineStr">
        <is>
          <t>无</t>
        </is>
      </c>
      <c r="K3" s="22" t="n">
        <v>22</v>
      </c>
      <c r="L3" s="23" t="n"/>
      <c r="M3" s="28" t="n">
        <v>22</v>
      </c>
      <c r="N3" s="301" t="inlineStr">
        <is>
          <t>无</t>
        </is>
      </c>
      <c r="O3" s="30" t="n">
        <v>22</v>
      </c>
      <c r="P3" s="5" t="inlineStr">
        <is>
          <t>无</t>
        </is>
      </c>
      <c r="Q3" s="41" t="n">
        <v>22</v>
      </c>
      <c r="R3" s="5" t="inlineStr">
        <is>
          <t>无</t>
        </is>
      </c>
      <c r="S3" s="42" t="n">
        <v>22</v>
      </c>
      <c r="T3" s="5" t="inlineStr">
        <is>
          <t>无</t>
        </is>
      </c>
      <c r="U3" s="63" t="n">
        <v>22</v>
      </c>
      <c r="V3" s="5" t="inlineStr">
        <is>
          <t>无</t>
        </is>
      </c>
      <c r="W3" s="41" t="n">
        <v>22</v>
      </c>
      <c r="X3" s="5" t="inlineStr">
        <is>
          <t>无</t>
        </is>
      </c>
      <c r="Y3" s="83" t="n">
        <v>22</v>
      </c>
      <c r="Z3" s="5" t="inlineStr">
        <is>
          <t>无</t>
        </is>
      </c>
      <c r="AA3" s="84" t="n">
        <v>22</v>
      </c>
      <c r="AB3" s="5" t="inlineStr">
        <is>
          <t>无</t>
        </is>
      </c>
      <c r="AC3" s="5" t="n"/>
      <c r="AD3" s="3" t="n"/>
      <c r="AE3" s="107" t="n"/>
      <c r="AF3" s="107" t="n"/>
      <c r="AG3" s="107" t="inlineStr">
        <is>
          <t>无</t>
        </is>
      </c>
      <c r="AH3" s="421" t="inlineStr">
        <is>
          <t>opp袋</t>
        </is>
      </c>
      <c r="AI3" s="5" t="n"/>
      <c r="AJ3" s="112" t="n">
        <v>22</v>
      </c>
      <c r="AK3" s="5" t="inlineStr">
        <is>
          <t>无</t>
        </is>
      </c>
      <c r="AL3" s="119" t="n">
        <v>22</v>
      </c>
      <c r="AM3" s="5" t="inlineStr">
        <is>
          <t>无</t>
        </is>
      </c>
      <c r="AN3" s="120" t="n">
        <v>22</v>
      </c>
      <c r="AO3" s="5" t="inlineStr">
        <is>
          <t>无</t>
        </is>
      </c>
      <c r="AP3" s="142" t="n">
        <v>22</v>
      </c>
      <c r="AQ3" s="5" t="inlineStr">
        <is>
          <t>无</t>
        </is>
      </c>
      <c r="AR3" s="112" t="n">
        <v>22</v>
      </c>
      <c r="AS3" s="5" t="inlineStr">
        <is>
          <t>无</t>
        </is>
      </c>
      <c r="AT3" s="119" t="n">
        <v>22</v>
      </c>
      <c r="AU3" s="5" t="inlineStr">
        <is>
          <t>无</t>
        </is>
      </c>
      <c r="AV3" s="120" t="n">
        <v>22</v>
      </c>
      <c r="AW3" s="5" t="inlineStr">
        <is>
          <t>无</t>
        </is>
      </c>
      <c r="AX3" s="163" t="n">
        <v>22</v>
      </c>
      <c r="AY3" s="5" t="inlineStr">
        <is>
          <t>无</t>
        </is>
      </c>
      <c r="AZ3" s="164" t="n">
        <v>22</v>
      </c>
      <c r="BA3" s="5" t="inlineStr">
        <is>
          <t>无</t>
        </is>
      </c>
      <c r="BB3" s="142" t="n">
        <v>22</v>
      </c>
      <c r="BC3" s="5" t="inlineStr">
        <is>
          <t>无</t>
        </is>
      </c>
      <c r="BD3" s="163" t="n">
        <v>22</v>
      </c>
      <c r="BE3" s="5" t="inlineStr">
        <is>
          <t>无</t>
        </is>
      </c>
      <c r="BF3" s="120" t="n">
        <v>22</v>
      </c>
      <c r="BG3" s="5" t="inlineStr">
        <is>
          <t>无</t>
        </is>
      </c>
      <c r="BH3" s="119" t="n">
        <v>22</v>
      </c>
      <c r="BI3" s="5" t="inlineStr">
        <is>
          <t>无</t>
        </is>
      </c>
      <c r="BJ3" s="112" t="n">
        <v>22</v>
      </c>
      <c r="BK3" s="5" t="inlineStr">
        <is>
          <t>无</t>
        </is>
      </c>
      <c r="BL3" s="119" t="n">
        <v>22</v>
      </c>
      <c r="BM3" s="5" t="inlineStr">
        <is>
          <t>无</t>
        </is>
      </c>
      <c r="BN3" s="189" t="inlineStr">
        <is>
          <t>https://detail.1688.com/offer/618469986829.html?_t=1731392792455&amp;spm=a2615.7691456.co_0_0_wangpu_score_0_0_0_0_0_0_0000_0.0</t>
        </is>
      </c>
      <c r="BO3" s="188" t="n"/>
    </row>
    <row r="4" ht="17" customHeight="1" s="418">
      <c r="A4" s="422" t="n"/>
      <c r="B4" s="422" t="n"/>
      <c r="C4" s="422" t="n"/>
      <c r="D4" s="422" t="n"/>
      <c r="E4" s="17" t="inlineStr">
        <is>
          <t>500-2999</t>
        </is>
      </c>
      <c r="F4" s="16" t="n">
        <v>20</v>
      </c>
      <c r="G4" s="16" t="n">
        <v>20</v>
      </c>
      <c r="H4" s="422" t="n"/>
      <c r="I4" s="16" t="n">
        <v>20</v>
      </c>
      <c r="J4" s="422" t="n"/>
      <c r="K4" s="22" t="n">
        <v>20</v>
      </c>
      <c r="L4" s="23" t="n"/>
      <c r="M4" s="28" t="n">
        <v>20</v>
      </c>
      <c r="N4" s="423" t="n"/>
      <c r="O4" s="30" t="n">
        <v>20</v>
      </c>
      <c r="P4" s="422" t="n"/>
      <c r="Q4" s="41" t="n">
        <v>20</v>
      </c>
      <c r="R4" s="422" t="n"/>
      <c r="S4" s="42" t="n">
        <v>20</v>
      </c>
      <c r="T4" s="422" t="n"/>
      <c r="U4" s="63" t="n">
        <v>20</v>
      </c>
      <c r="V4" s="422" t="n"/>
      <c r="W4" s="41" t="n">
        <v>20</v>
      </c>
      <c r="X4" s="422" t="n"/>
      <c r="Y4" s="83" t="n">
        <v>20</v>
      </c>
      <c r="Z4" s="422" t="n"/>
      <c r="AA4" s="84" t="n">
        <v>20</v>
      </c>
      <c r="AB4" s="422" t="n"/>
      <c r="AC4" s="422" t="n"/>
      <c r="AD4" s="422" t="n"/>
      <c r="AE4" s="422" t="n"/>
      <c r="AF4" s="422" t="n"/>
      <c r="AG4" s="422" t="n"/>
      <c r="AH4" s="422" t="n"/>
      <c r="AI4" s="422" t="n"/>
      <c r="AJ4" s="112" t="n">
        <v>20</v>
      </c>
      <c r="AK4" s="422" t="n"/>
      <c r="AL4" s="119" t="n">
        <v>20</v>
      </c>
      <c r="AM4" s="422" t="n"/>
      <c r="AN4" s="120" t="n">
        <v>20</v>
      </c>
      <c r="AO4" s="422" t="n"/>
      <c r="AP4" s="142" t="n">
        <v>20</v>
      </c>
      <c r="AQ4" s="422" t="n"/>
      <c r="AR4" s="112" t="n">
        <v>20</v>
      </c>
      <c r="AS4" s="422" t="n"/>
      <c r="AT4" s="119" t="n">
        <v>20</v>
      </c>
      <c r="AU4" s="422" t="n"/>
      <c r="AV4" s="120" t="n">
        <v>20</v>
      </c>
      <c r="AW4" s="422" t="n"/>
      <c r="AX4" s="163" t="n">
        <v>20</v>
      </c>
      <c r="AY4" s="422" t="n"/>
      <c r="AZ4" s="164" t="n">
        <v>20</v>
      </c>
      <c r="BA4" s="422" t="n"/>
      <c r="BB4" s="142" t="n">
        <v>20</v>
      </c>
      <c r="BC4" s="422" t="n"/>
      <c r="BD4" s="163" t="n">
        <v>20</v>
      </c>
      <c r="BE4" s="422" t="n"/>
      <c r="BF4" s="120" t="n">
        <v>20</v>
      </c>
      <c r="BG4" s="422" t="n"/>
      <c r="BH4" s="119" t="n">
        <v>20</v>
      </c>
      <c r="BI4" s="422" t="n"/>
      <c r="BJ4" s="112" t="n">
        <v>20</v>
      </c>
      <c r="BK4" s="422" t="n"/>
      <c r="BL4" s="119" t="n">
        <v>20</v>
      </c>
      <c r="BM4" s="422" t="n"/>
      <c r="BN4" s="422" t="n"/>
      <c r="BO4" s="188" t="n"/>
    </row>
    <row r="5" ht="17" customHeight="1" s="418">
      <c r="A5" s="424" t="n"/>
      <c r="B5" s="424" t="n"/>
      <c r="C5" s="424" t="n"/>
      <c r="D5" s="424" t="n"/>
      <c r="E5" s="15" t="inlineStr">
        <is>
          <t xml:space="preserve">≥3000：   </t>
        </is>
      </c>
      <c r="F5" s="18" t="n">
        <v>18</v>
      </c>
      <c r="G5" s="18" t="n">
        <v>18</v>
      </c>
      <c r="H5" s="424" t="n"/>
      <c r="I5" s="18" t="n">
        <v>18</v>
      </c>
      <c r="J5" s="424" t="n"/>
      <c r="K5" s="24" t="n">
        <v>18</v>
      </c>
      <c r="L5" s="23" t="n"/>
      <c r="M5" s="32" t="n">
        <v>18</v>
      </c>
      <c r="N5" s="425" t="n"/>
      <c r="O5" s="34" t="n">
        <v>18</v>
      </c>
      <c r="P5" s="424" t="n"/>
      <c r="Q5" s="43" t="n">
        <v>18</v>
      </c>
      <c r="R5" s="424" t="n"/>
      <c r="S5" s="44" t="n">
        <v>18</v>
      </c>
      <c r="T5" s="424" t="n"/>
      <c r="U5" s="64" t="n">
        <v>18</v>
      </c>
      <c r="V5" s="424" t="n"/>
      <c r="W5" s="43" t="n">
        <v>18</v>
      </c>
      <c r="X5" s="424" t="n"/>
      <c r="Y5" s="85" t="n">
        <v>18</v>
      </c>
      <c r="Z5" s="424" t="n"/>
      <c r="AA5" s="86" t="n">
        <v>18</v>
      </c>
      <c r="AB5" s="424" t="n"/>
      <c r="AC5" s="424" t="n"/>
      <c r="AD5" s="424" t="n"/>
      <c r="AE5" s="422" t="n"/>
      <c r="AF5" s="422" t="n"/>
      <c r="AG5" s="422" t="n"/>
      <c r="AH5" s="422" t="n"/>
      <c r="AI5" s="424" t="n"/>
      <c r="AJ5" s="114" t="n">
        <v>18</v>
      </c>
      <c r="AK5" s="424" t="n"/>
      <c r="AL5" s="121" t="n">
        <v>18</v>
      </c>
      <c r="AM5" s="424" t="n"/>
      <c r="AN5" s="122" t="n">
        <v>18</v>
      </c>
      <c r="AO5" s="424" t="n"/>
      <c r="AP5" s="143" t="n">
        <v>18</v>
      </c>
      <c r="AQ5" s="424" t="n"/>
      <c r="AR5" s="114" t="n">
        <v>18</v>
      </c>
      <c r="AS5" s="424" t="n"/>
      <c r="AT5" s="121" t="n">
        <v>18</v>
      </c>
      <c r="AU5" s="424" t="n"/>
      <c r="AV5" s="122" t="n">
        <v>18</v>
      </c>
      <c r="AW5" s="424" t="n"/>
      <c r="AX5" s="165" t="n">
        <v>18</v>
      </c>
      <c r="AY5" s="424" t="n"/>
      <c r="AZ5" s="166" t="n">
        <v>18</v>
      </c>
      <c r="BA5" s="424" t="n"/>
      <c r="BB5" s="143" t="n">
        <v>18</v>
      </c>
      <c r="BC5" s="424" t="n"/>
      <c r="BD5" s="165" t="n">
        <v>18</v>
      </c>
      <c r="BE5" s="424" t="n"/>
      <c r="BF5" s="122" t="n">
        <v>18</v>
      </c>
      <c r="BG5" s="424" t="n"/>
      <c r="BH5" s="121" t="n">
        <v>18</v>
      </c>
      <c r="BI5" s="424" t="n"/>
      <c r="BJ5" s="114" t="n">
        <v>18</v>
      </c>
      <c r="BK5" s="424" t="n"/>
      <c r="BL5" s="121" t="n">
        <v>18</v>
      </c>
      <c r="BM5" s="424" t="n"/>
      <c r="BN5" s="424" t="n"/>
      <c r="BO5" s="188" t="n"/>
    </row>
    <row r="6" ht="17" customHeight="1" s="418">
      <c r="A6" s="4" t="inlineStr">
        <is>
          <t>mini8/9/11/12</t>
        </is>
      </c>
      <c r="B6" s="4" t="inlineStr">
        <is>
          <t>雏菊</t>
        </is>
      </c>
      <c r="C6" s="5" t="inlineStr">
        <is>
          <t>100+</t>
        </is>
      </c>
      <c r="D6" s="2">
        <f>_xlfn.DISPIMG("ID_8BD1E0927AFA4950AB88C48D173BE862",1)</f>
        <v/>
      </c>
      <c r="E6" s="15" t="inlineStr">
        <is>
          <t xml:space="preserve">1-299      </t>
        </is>
      </c>
      <c r="F6" s="16" t="n">
        <v>24</v>
      </c>
      <c r="G6" s="16" t="n">
        <v>24</v>
      </c>
      <c r="H6" s="5" t="inlineStr">
        <is>
          <t>无</t>
        </is>
      </c>
      <c r="I6" s="16" t="n">
        <v>24</v>
      </c>
      <c r="J6" s="5" t="inlineStr">
        <is>
          <t>无</t>
        </is>
      </c>
      <c r="K6" s="22" t="n">
        <v>24</v>
      </c>
      <c r="L6" s="5" t="inlineStr">
        <is>
          <t>无</t>
        </is>
      </c>
      <c r="M6" s="28" t="n">
        <v>24</v>
      </c>
      <c r="N6" s="301" t="inlineStr">
        <is>
          <t>无</t>
        </is>
      </c>
      <c r="O6" s="30" t="n">
        <v>24</v>
      </c>
      <c r="P6" s="5" t="inlineStr">
        <is>
          <t>无</t>
        </is>
      </c>
      <c r="Q6" s="41" t="n">
        <v>24</v>
      </c>
      <c r="R6" s="5" t="inlineStr">
        <is>
          <t>无</t>
        </is>
      </c>
      <c r="S6" s="42" t="n">
        <v>24</v>
      </c>
      <c r="T6" s="5" t="inlineStr">
        <is>
          <t>无</t>
        </is>
      </c>
      <c r="U6" s="63" t="n">
        <v>24</v>
      </c>
      <c r="V6" s="5" t="inlineStr">
        <is>
          <t>无</t>
        </is>
      </c>
      <c r="W6" s="41" t="n">
        <v>24</v>
      </c>
      <c r="X6" s="5" t="inlineStr">
        <is>
          <t>无</t>
        </is>
      </c>
      <c r="Y6" s="83" t="n">
        <v>24</v>
      </c>
      <c r="Z6" s="5" t="inlineStr">
        <is>
          <t>无</t>
        </is>
      </c>
      <c r="AA6" s="84" t="n">
        <v>24</v>
      </c>
      <c r="AB6" s="5" t="inlineStr">
        <is>
          <t>无</t>
        </is>
      </c>
      <c r="AC6" s="5" t="n"/>
      <c r="AD6" s="3" t="n"/>
      <c r="AE6" s="107" t="n"/>
      <c r="AF6" s="107" t="n"/>
      <c r="AG6" s="422" t="n"/>
      <c r="AH6" s="422" t="n"/>
      <c r="AI6" s="5" t="n"/>
      <c r="AJ6" s="112" t="n">
        <v>24</v>
      </c>
      <c r="AK6" s="5" t="inlineStr">
        <is>
          <t>无</t>
        </is>
      </c>
      <c r="AL6" s="119" t="n">
        <v>24</v>
      </c>
      <c r="AM6" s="5" t="inlineStr">
        <is>
          <t>无</t>
        </is>
      </c>
      <c r="AN6" s="120" t="n">
        <v>24</v>
      </c>
      <c r="AO6" s="5" t="inlineStr">
        <is>
          <t>无</t>
        </is>
      </c>
      <c r="AP6" s="142" t="n">
        <v>24</v>
      </c>
      <c r="AQ6" s="5" t="inlineStr">
        <is>
          <t>无</t>
        </is>
      </c>
      <c r="AR6" s="112" t="n">
        <v>24</v>
      </c>
      <c r="AS6" s="5" t="inlineStr">
        <is>
          <t>无</t>
        </is>
      </c>
      <c r="AT6" s="119" t="n">
        <v>24</v>
      </c>
      <c r="AU6" s="5" t="inlineStr">
        <is>
          <t>无</t>
        </is>
      </c>
      <c r="AV6" s="120" t="n">
        <v>24</v>
      </c>
      <c r="AW6" s="5" t="inlineStr">
        <is>
          <t>无</t>
        </is>
      </c>
      <c r="AX6" s="163" t="n">
        <v>24</v>
      </c>
      <c r="AY6" s="5" t="inlineStr">
        <is>
          <t>无</t>
        </is>
      </c>
      <c r="AZ6" s="164" t="n">
        <v>24</v>
      </c>
      <c r="BA6" s="5" t="inlineStr">
        <is>
          <t>无</t>
        </is>
      </c>
      <c r="BB6" s="142" t="n">
        <v>24</v>
      </c>
      <c r="BC6" s="5" t="inlineStr">
        <is>
          <t>无</t>
        </is>
      </c>
      <c r="BD6" s="163" t="n">
        <v>24</v>
      </c>
      <c r="BE6" s="5" t="inlineStr">
        <is>
          <t>无</t>
        </is>
      </c>
      <c r="BF6" s="120" t="n">
        <v>24</v>
      </c>
      <c r="BG6" s="5" t="inlineStr">
        <is>
          <t>无</t>
        </is>
      </c>
      <c r="BH6" s="119" t="n">
        <v>23</v>
      </c>
      <c r="BI6" s="5" t="inlineStr">
        <is>
          <t>无</t>
        </is>
      </c>
      <c r="BJ6" s="112" t="n">
        <v>23</v>
      </c>
      <c r="BK6" s="5" t="inlineStr">
        <is>
          <t>无</t>
        </is>
      </c>
      <c r="BL6" s="119" t="n">
        <v>23</v>
      </c>
      <c r="BM6" s="5" t="inlineStr">
        <is>
          <t>无</t>
        </is>
      </c>
      <c r="BN6" s="189" t="inlineStr">
        <is>
          <t>https://detail.1688.com/offer/842197098635.html?_t=1731395210276&amp;spm=a2615.7691456.co_1_0_wangpu_score_0_0_0_0_0_0_0000_0.0</t>
        </is>
      </c>
      <c r="BO6" s="188" t="n"/>
    </row>
    <row r="7" ht="17" customHeight="1" s="418">
      <c r="A7" s="422" t="n"/>
      <c r="B7" s="422" t="n"/>
      <c r="C7" s="422" t="n"/>
      <c r="D7" s="422" t="n"/>
      <c r="E7" s="17" t="inlineStr">
        <is>
          <t>300-999</t>
        </is>
      </c>
      <c r="F7" s="16" t="n">
        <v>23.5</v>
      </c>
      <c r="G7" s="16" t="n">
        <v>23.5</v>
      </c>
      <c r="H7" s="422" t="n"/>
      <c r="I7" s="16" t="n">
        <v>23.5</v>
      </c>
      <c r="J7" s="422" t="n"/>
      <c r="K7" s="22" t="n">
        <v>23.5</v>
      </c>
      <c r="L7" s="422" t="n"/>
      <c r="M7" s="28" t="n">
        <v>23.5</v>
      </c>
      <c r="N7" s="423" t="n"/>
      <c r="O7" s="30" t="n">
        <v>23.5</v>
      </c>
      <c r="P7" s="422" t="n"/>
      <c r="Q7" s="41" t="n">
        <v>23.5</v>
      </c>
      <c r="R7" s="422" t="n"/>
      <c r="S7" s="42" t="n">
        <v>23.5</v>
      </c>
      <c r="T7" s="422" t="n"/>
      <c r="U7" s="63" t="n">
        <v>23.5</v>
      </c>
      <c r="V7" s="422" t="n"/>
      <c r="W7" s="41" t="n">
        <v>23.5</v>
      </c>
      <c r="X7" s="422" t="n"/>
      <c r="Y7" s="83" t="n">
        <v>23.5</v>
      </c>
      <c r="Z7" s="422" t="n"/>
      <c r="AA7" s="84" t="n">
        <v>23.5</v>
      </c>
      <c r="AB7" s="422" t="n"/>
      <c r="AC7" s="422" t="n"/>
      <c r="AD7" s="422" t="n"/>
      <c r="AE7" s="422" t="n"/>
      <c r="AF7" s="422" t="n"/>
      <c r="AG7" s="422" t="n"/>
      <c r="AH7" s="422" t="n"/>
      <c r="AI7" s="422" t="n"/>
      <c r="AJ7" s="112" t="n">
        <v>23.5</v>
      </c>
      <c r="AK7" s="422" t="n"/>
      <c r="AL7" s="119" t="n">
        <v>23.5</v>
      </c>
      <c r="AM7" s="422" t="n"/>
      <c r="AN7" s="120" t="n">
        <v>23.5</v>
      </c>
      <c r="AO7" s="422" t="n"/>
      <c r="AP7" s="142" t="n">
        <v>23.5</v>
      </c>
      <c r="AQ7" s="422" t="n"/>
      <c r="AR7" s="112" t="n">
        <v>23.5</v>
      </c>
      <c r="AS7" s="422" t="n"/>
      <c r="AT7" s="119" t="n">
        <v>23.5</v>
      </c>
      <c r="AU7" s="422" t="n"/>
      <c r="AV7" s="120" t="n">
        <v>23.5</v>
      </c>
      <c r="AW7" s="422" t="n"/>
      <c r="AX7" s="163" t="n">
        <v>23.5</v>
      </c>
      <c r="AY7" s="422" t="n"/>
      <c r="AZ7" s="164" t="n">
        <v>23.5</v>
      </c>
      <c r="BA7" s="422" t="n"/>
      <c r="BB7" s="142" t="n">
        <v>23.5</v>
      </c>
      <c r="BC7" s="422" t="n"/>
      <c r="BD7" s="163" t="n">
        <v>23.5</v>
      </c>
      <c r="BE7" s="422" t="n"/>
      <c r="BF7" s="120" t="n">
        <v>23.5</v>
      </c>
      <c r="BG7" s="422" t="n"/>
      <c r="BH7" s="119" t="n">
        <v>22.5</v>
      </c>
      <c r="BI7" s="422" t="n"/>
      <c r="BJ7" s="112" t="n">
        <v>22.5</v>
      </c>
      <c r="BK7" s="422" t="n"/>
      <c r="BL7" s="119" t="n">
        <v>22.5</v>
      </c>
      <c r="BM7" s="422" t="n"/>
      <c r="BN7" s="422" t="n"/>
      <c r="BO7" s="188" t="n"/>
    </row>
    <row r="8" ht="17" customHeight="1" s="418">
      <c r="A8" s="424" t="n"/>
      <c r="B8" s="424" t="n"/>
      <c r="C8" s="424" t="n"/>
      <c r="D8" s="424" t="n"/>
      <c r="E8" s="15" t="inlineStr">
        <is>
          <t xml:space="preserve">≥1000：   </t>
        </is>
      </c>
      <c r="F8" s="18" t="n">
        <v>23</v>
      </c>
      <c r="G8" s="18" t="n">
        <v>23</v>
      </c>
      <c r="H8" s="424" t="n"/>
      <c r="I8" s="18" t="n">
        <v>23</v>
      </c>
      <c r="J8" s="424" t="n"/>
      <c r="K8" s="24" t="n">
        <v>23</v>
      </c>
      <c r="L8" s="424" t="n"/>
      <c r="M8" s="32" t="n">
        <v>23</v>
      </c>
      <c r="N8" s="425" t="n"/>
      <c r="O8" s="34" t="n">
        <v>23</v>
      </c>
      <c r="P8" s="424" t="n"/>
      <c r="Q8" s="43" t="n">
        <v>23</v>
      </c>
      <c r="R8" s="424" t="n"/>
      <c r="S8" s="44" t="n">
        <v>23</v>
      </c>
      <c r="T8" s="424" t="n"/>
      <c r="U8" s="64" t="n">
        <v>23</v>
      </c>
      <c r="V8" s="424" t="n"/>
      <c r="W8" s="43" t="n">
        <v>23</v>
      </c>
      <c r="X8" s="424" t="n"/>
      <c r="Y8" s="85" t="n">
        <v>23</v>
      </c>
      <c r="Z8" s="424" t="n"/>
      <c r="AA8" s="86" t="n">
        <v>23</v>
      </c>
      <c r="AB8" s="424" t="n"/>
      <c r="AC8" s="424" t="n"/>
      <c r="AD8" s="424" t="n"/>
      <c r="AE8" s="422" t="n"/>
      <c r="AF8" s="422" t="n"/>
      <c r="AG8" s="422" t="n"/>
      <c r="AH8" s="422" t="n"/>
      <c r="AI8" s="424" t="n"/>
      <c r="AJ8" s="114" t="n">
        <v>23</v>
      </c>
      <c r="AK8" s="424" t="n"/>
      <c r="AL8" s="121" t="n">
        <v>23</v>
      </c>
      <c r="AM8" s="424" t="n"/>
      <c r="AN8" s="122" t="n">
        <v>23</v>
      </c>
      <c r="AO8" s="424" t="n"/>
      <c r="AP8" s="143" t="n">
        <v>23</v>
      </c>
      <c r="AQ8" s="424" t="n"/>
      <c r="AR8" s="114" t="n">
        <v>23</v>
      </c>
      <c r="AS8" s="424" t="n"/>
      <c r="AT8" s="121" t="n">
        <v>23</v>
      </c>
      <c r="AU8" s="424" t="n"/>
      <c r="AV8" s="122" t="n">
        <v>23</v>
      </c>
      <c r="AW8" s="424" t="n"/>
      <c r="AX8" s="165" t="n">
        <v>23</v>
      </c>
      <c r="AY8" s="424" t="n"/>
      <c r="AZ8" s="166" t="n">
        <v>23</v>
      </c>
      <c r="BA8" s="424" t="n"/>
      <c r="BB8" s="143" t="n">
        <v>23</v>
      </c>
      <c r="BC8" s="424" t="n"/>
      <c r="BD8" s="165" t="n">
        <v>23</v>
      </c>
      <c r="BE8" s="424" t="n"/>
      <c r="BF8" s="122" t="n">
        <v>23</v>
      </c>
      <c r="BG8" s="424" t="n"/>
      <c r="BH8" s="121" t="n">
        <v>22</v>
      </c>
      <c r="BI8" s="424" t="n"/>
      <c r="BJ8" s="114" t="n">
        <v>22</v>
      </c>
      <c r="BK8" s="424" t="n"/>
      <c r="BL8" s="121" t="n">
        <v>22</v>
      </c>
      <c r="BM8" s="424" t="n"/>
      <c r="BN8" s="424" t="n"/>
      <c r="BO8" s="188" t="n"/>
    </row>
    <row r="9" ht="17" customHeight="1" s="418">
      <c r="A9" s="4" t="inlineStr">
        <is>
          <t>mini8/9/11/12</t>
        </is>
      </c>
      <c r="B9" s="4" t="inlineStr">
        <is>
          <t>纯色</t>
        </is>
      </c>
      <c r="C9" s="5" t="inlineStr">
        <is>
          <t>1400+</t>
        </is>
      </c>
      <c r="D9" s="2">
        <f>_xlfn.DISPIMG("ID_F6D2D401B1A044B09F2F3086EC8DE5FD",1)</f>
        <v/>
      </c>
      <c r="E9" s="15" t="inlineStr">
        <is>
          <t xml:space="preserve">1-999      </t>
        </is>
      </c>
      <c r="F9" s="16" t="n">
        <v>19</v>
      </c>
      <c r="G9" s="16" t="n">
        <v>19</v>
      </c>
      <c r="H9" s="5" t="inlineStr">
        <is>
          <t>无</t>
        </is>
      </c>
      <c r="I9" s="16" t="n">
        <v>19</v>
      </c>
      <c r="J9" s="5" t="inlineStr">
        <is>
          <t>无</t>
        </is>
      </c>
      <c r="K9" s="22" t="n">
        <v>19</v>
      </c>
      <c r="L9" s="5" t="inlineStr">
        <is>
          <t>无</t>
        </is>
      </c>
      <c r="M9" s="35" t="n">
        <v>19</v>
      </c>
      <c r="N9" s="301" t="inlineStr">
        <is>
          <t>无</t>
        </is>
      </c>
      <c r="O9" s="36" t="n">
        <v>19</v>
      </c>
      <c r="P9" s="5" t="inlineStr">
        <is>
          <t>无</t>
        </is>
      </c>
      <c r="Q9" s="45" t="n">
        <v>19</v>
      </c>
      <c r="R9" s="5" t="inlineStr">
        <is>
          <t>无</t>
        </is>
      </c>
      <c r="S9" s="46" t="n">
        <v>19</v>
      </c>
      <c r="T9" s="5" t="inlineStr">
        <is>
          <t>无</t>
        </is>
      </c>
      <c r="U9" s="65" t="n">
        <v>19</v>
      </c>
      <c r="V9" s="5" t="inlineStr">
        <is>
          <t>无</t>
        </is>
      </c>
      <c r="W9" s="45" t="n">
        <v>19</v>
      </c>
      <c r="X9" s="5" t="inlineStr">
        <is>
          <t>无</t>
        </is>
      </c>
      <c r="Y9" s="87" t="n">
        <v>19</v>
      </c>
      <c r="Z9" s="5" t="inlineStr">
        <is>
          <t>无</t>
        </is>
      </c>
      <c r="AA9" s="88" t="n">
        <v>19</v>
      </c>
      <c r="AB9" s="5" t="inlineStr">
        <is>
          <t>无</t>
        </is>
      </c>
      <c r="AC9" s="5" t="inlineStr">
        <is>
          <t>30.89（棕 卡包）</t>
        </is>
      </c>
      <c r="AD9" s="3" t="n"/>
      <c r="AE9" s="107" t="n"/>
      <c r="AF9" s="107" t="n"/>
      <c r="AG9" s="422" t="n"/>
      <c r="AH9" s="422" t="n"/>
      <c r="AI9" s="5" t="n"/>
      <c r="AJ9" s="112" t="n">
        <v>19</v>
      </c>
      <c r="AK9" s="5" t="inlineStr">
        <is>
          <t>无</t>
        </is>
      </c>
      <c r="AL9" s="119" t="n">
        <v>19</v>
      </c>
      <c r="AM9" s="124" t="inlineStr">
        <is>
          <t>1件起批，刺绣款加3元</t>
        </is>
      </c>
      <c r="AN9" s="120" t="n">
        <v>19</v>
      </c>
      <c r="AO9" s="124" t="inlineStr">
        <is>
          <t>1件起批，刺绣款加3元</t>
        </is>
      </c>
      <c r="AP9" s="142" t="n">
        <v>19</v>
      </c>
      <c r="AQ9" s="124" t="inlineStr">
        <is>
          <t>1件起批，刺绣款加3元</t>
        </is>
      </c>
      <c r="AR9" s="112" t="n">
        <v>19</v>
      </c>
      <c r="AS9" s="124" t="inlineStr">
        <is>
          <t>1件起批，刺绣款加3元</t>
        </is>
      </c>
      <c r="AT9" s="119" t="n">
        <v>19</v>
      </c>
      <c r="AU9" s="124" t="inlineStr">
        <is>
          <t>1件起批，刺绣款加3元</t>
        </is>
      </c>
      <c r="AV9" s="120" t="n">
        <v>19</v>
      </c>
      <c r="AW9" s="124" t="inlineStr">
        <is>
          <t>1件起批，刺绣款加3元</t>
        </is>
      </c>
      <c r="AX9" s="163" t="n">
        <v>19</v>
      </c>
      <c r="AY9" s="124" t="inlineStr">
        <is>
          <t>1件起批，刺绣款加3元</t>
        </is>
      </c>
      <c r="AZ9" s="164" t="n">
        <v>19</v>
      </c>
      <c r="BA9" s="124" t="inlineStr">
        <is>
          <t>1件起批，刺绣款加3元</t>
        </is>
      </c>
      <c r="BB9" s="142" t="n">
        <v>19</v>
      </c>
      <c r="BC9" s="124" t="inlineStr">
        <is>
          <t>1件起批，刺绣款加3元</t>
        </is>
      </c>
      <c r="BD9" s="163" t="n">
        <v>19</v>
      </c>
      <c r="BE9" s="124" t="inlineStr">
        <is>
          <t>1件起批，刺绣款加1元</t>
        </is>
      </c>
      <c r="BF9" s="120" t="n">
        <v>19</v>
      </c>
      <c r="BG9" s="124" t="inlineStr">
        <is>
          <t>1件起批，刺绣款加1元</t>
        </is>
      </c>
      <c r="BH9" s="119" t="n">
        <v>18.5</v>
      </c>
      <c r="BI9" s="124" t="inlineStr">
        <is>
          <t>1件起批，刺绣款加1元</t>
        </is>
      </c>
      <c r="BJ9" s="112" t="n">
        <v>18.5</v>
      </c>
      <c r="BK9" s="124" t="inlineStr">
        <is>
          <t>1件起批，刺绣款加1.5元</t>
        </is>
      </c>
      <c r="BL9" s="119" t="n">
        <v>18.5</v>
      </c>
      <c r="BM9" s="124" t="inlineStr">
        <is>
          <t>1件起批，刺绣款加1.5元</t>
        </is>
      </c>
      <c r="BN9" s="189" t="inlineStr">
        <is>
          <t>https://detail.1688.com/offer/846213691265.html?_t=1731395274213&amp;spm=a2615.7691456.co_1_0_wangpu_score_0_0_0_0_0_0_0000_0.0</t>
        </is>
      </c>
      <c r="BO9" s="188" t="n"/>
    </row>
    <row r="10" ht="34" customHeight="1" s="418">
      <c r="A10" s="422" t="n"/>
      <c r="B10" s="422" t="n"/>
      <c r="C10" s="422" t="n"/>
      <c r="D10" s="422" t="n"/>
      <c r="E10" s="17" t="inlineStr">
        <is>
          <t>1000-1999</t>
        </is>
      </c>
      <c r="F10" s="16" t="n">
        <v>18.5</v>
      </c>
      <c r="G10" s="16" t="n">
        <v>18.5</v>
      </c>
      <c r="H10" s="422" t="n"/>
      <c r="I10" s="16" t="n">
        <v>18.5</v>
      </c>
      <c r="J10" s="422" t="n"/>
      <c r="K10" s="22" t="n">
        <v>18.5</v>
      </c>
      <c r="L10" s="422" t="n"/>
      <c r="M10" s="35" t="n">
        <v>18.5</v>
      </c>
      <c r="N10" s="423" t="n"/>
      <c r="O10" s="36" t="n">
        <v>18.5</v>
      </c>
      <c r="P10" s="422" t="n"/>
      <c r="Q10" s="45" t="n">
        <v>18.5</v>
      </c>
      <c r="R10" s="422" t="n"/>
      <c r="S10" s="46" t="n">
        <v>18.5</v>
      </c>
      <c r="T10" s="422" t="n"/>
      <c r="U10" s="65" t="n">
        <v>18.5</v>
      </c>
      <c r="V10" s="422" t="n"/>
      <c r="W10" s="45" t="n">
        <v>18.5</v>
      </c>
      <c r="X10" s="422" t="n"/>
      <c r="Y10" s="87" t="n">
        <v>18.5</v>
      </c>
      <c r="Z10" s="422" t="n"/>
      <c r="AA10" s="88" t="n">
        <v>18.5</v>
      </c>
      <c r="AB10" s="422" t="n"/>
      <c r="AC10" s="422" t="n"/>
      <c r="AD10" s="422" t="n"/>
      <c r="AE10" s="422" t="n"/>
      <c r="AF10" s="422" t="n"/>
      <c r="AG10" s="422" t="n"/>
      <c r="AH10" s="422" t="n"/>
      <c r="AI10" s="422" t="n"/>
      <c r="AJ10" s="112" t="n">
        <v>18.5</v>
      </c>
      <c r="AK10" s="422" t="n"/>
      <c r="AL10" s="423" t="n"/>
      <c r="AM10" s="422" t="n"/>
      <c r="AN10" s="423" t="n"/>
      <c r="AO10" s="422" t="n"/>
      <c r="AP10" s="423" t="n"/>
      <c r="AQ10" s="422" t="n"/>
      <c r="AR10" s="423" t="n"/>
      <c r="AS10" s="422" t="n"/>
      <c r="AT10" s="423" t="n"/>
      <c r="AU10" s="422" t="n"/>
      <c r="AV10" s="423" t="n"/>
      <c r="AW10" s="422" t="n"/>
      <c r="AX10" s="423" t="n"/>
      <c r="AY10" s="422" t="n"/>
      <c r="AZ10" s="423" t="n"/>
      <c r="BA10" s="422" t="n"/>
      <c r="BB10" s="423" t="n"/>
      <c r="BC10" s="422" t="n"/>
      <c r="BD10" s="423" t="n"/>
      <c r="BE10" s="422" t="n"/>
      <c r="BF10" s="423" t="n"/>
      <c r="BG10" s="422" t="n"/>
      <c r="BH10" s="423" t="n"/>
      <c r="BI10" s="422" t="n"/>
      <c r="BJ10" s="423" t="n"/>
      <c r="BK10" s="422" t="n"/>
      <c r="BL10" s="423" t="n"/>
      <c r="BM10" s="422" t="n"/>
      <c r="BN10" s="422" t="n"/>
      <c r="BO10" s="188" t="n"/>
    </row>
    <row r="11" ht="17" customHeight="1" s="418">
      <c r="A11" s="424" t="n"/>
      <c r="B11" s="424" t="n"/>
      <c r="C11" s="424" t="n"/>
      <c r="D11" s="424" t="n"/>
      <c r="E11" s="15" t="inlineStr">
        <is>
          <t xml:space="preserve">≥2000：   </t>
        </is>
      </c>
      <c r="F11" s="18" t="n">
        <v>17</v>
      </c>
      <c r="G11" s="18" t="n">
        <v>17</v>
      </c>
      <c r="H11" s="424" t="n"/>
      <c r="I11" s="18" t="n">
        <v>17</v>
      </c>
      <c r="J11" s="424" t="n"/>
      <c r="K11" s="24" t="n">
        <v>17</v>
      </c>
      <c r="L11" s="424" t="n"/>
      <c r="M11" s="37" t="n">
        <v>17</v>
      </c>
      <c r="N11" s="425" t="n"/>
      <c r="O11" s="38" t="n">
        <v>17</v>
      </c>
      <c r="P11" s="424" t="n"/>
      <c r="Q11" s="47" t="n">
        <v>17</v>
      </c>
      <c r="R11" s="424" t="n"/>
      <c r="S11" s="48" t="n">
        <v>17</v>
      </c>
      <c r="T11" s="424" t="n"/>
      <c r="U11" s="66" t="n">
        <v>17</v>
      </c>
      <c r="V11" s="424" t="n"/>
      <c r="W11" s="67" t="n">
        <v>17</v>
      </c>
      <c r="X11" s="424" t="n"/>
      <c r="Y11" s="89" t="n">
        <v>17</v>
      </c>
      <c r="Z11" s="424" t="n"/>
      <c r="AA11" s="90" t="n">
        <v>17</v>
      </c>
      <c r="AB11" s="424" t="n"/>
      <c r="AC11" s="424" t="n"/>
      <c r="AD11" s="424" t="n"/>
      <c r="AE11" s="422" t="n"/>
      <c r="AF11" s="422" t="n"/>
      <c r="AG11" s="422" t="n"/>
      <c r="AH11" s="422" t="n"/>
      <c r="AI11" s="424" t="n"/>
      <c r="AJ11" s="67" t="n">
        <v>17</v>
      </c>
      <c r="AK11" s="424" t="n"/>
      <c r="AL11" s="425" t="n"/>
      <c r="AM11" s="424" t="n"/>
      <c r="AN11" s="425" t="n"/>
      <c r="AO11" s="424" t="n"/>
      <c r="AP11" s="425" t="n"/>
      <c r="AQ11" s="424" t="n"/>
      <c r="AR11" s="425" t="n"/>
      <c r="AS11" s="424" t="n"/>
      <c r="AT11" s="425" t="n"/>
      <c r="AU11" s="424" t="n"/>
      <c r="AV11" s="425" t="n"/>
      <c r="AW11" s="424" t="n"/>
      <c r="AX11" s="425" t="n"/>
      <c r="AY11" s="424" t="n"/>
      <c r="AZ11" s="425" t="n"/>
      <c r="BA11" s="424" t="n"/>
      <c r="BB11" s="425" t="n"/>
      <c r="BC11" s="424" t="n"/>
      <c r="BD11" s="425" t="n"/>
      <c r="BE11" s="424" t="n"/>
      <c r="BF11" s="425" t="n"/>
      <c r="BG11" s="424" t="n"/>
      <c r="BH11" s="425" t="n"/>
      <c r="BI11" s="424" t="n"/>
      <c r="BJ11" s="425" t="n"/>
      <c r="BK11" s="424" t="n"/>
      <c r="BL11" s="425" t="n"/>
      <c r="BM11" s="424" t="n"/>
      <c r="BN11" s="424" t="n"/>
      <c r="BO11" s="188" t="n"/>
    </row>
    <row r="12">
      <c r="A12" s="4" t="inlineStr">
        <is>
          <t>mini8/9/11/12</t>
        </is>
      </c>
      <c r="B12" s="4" t="inlineStr">
        <is>
          <t>幻彩</t>
        </is>
      </c>
      <c r="C12" s="5" t="inlineStr">
        <is>
          <t>70+</t>
        </is>
      </c>
      <c r="D12" s="2">
        <f>_xlfn.DISPIMG("ID_C4E5ABA97EA84AE093F9B9BE6D8A47CD",1)</f>
        <v/>
      </c>
      <c r="E12" s="426" t="n">
        <v>1</v>
      </c>
      <c r="F12" s="16" t="n">
        <v>20</v>
      </c>
      <c r="G12" s="16" t="n">
        <v>20</v>
      </c>
      <c r="H12" s="5" t="inlineStr">
        <is>
          <t>无</t>
        </is>
      </c>
      <c r="I12" s="16" t="n">
        <v>20</v>
      </c>
      <c r="J12" s="5" t="inlineStr">
        <is>
          <t>无</t>
        </is>
      </c>
      <c r="K12" s="22" t="n">
        <v>20</v>
      </c>
      <c r="L12" s="5" t="inlineStr">
        <is>
          <t>无</t>
        </is>
      </c>
      <c r="M12" s="28" t="n">
        <v>20</v>
      </c>
      <c r="N12" s="301" t="inlineStr">
        <is>
          <t>无</t>
        </is>
      </c>
      <c r="O12" s="30" t="n">
        <v>20</v>
      </c>
      <c r="P12" s="5" t="inlineStr">
        <is>
          <t>无</t>
        </is>
      </c>
      <c r="Q12" s="41" t="n">
        <v>20</v>
      </c>
      <c r="R12" s="5" t="inlineStr">
        <is>
          <t>无</t>
        </is>
      </c>
      <c r="S12" s="42" t="n">
        <v>20</v>
      </c>
      <c r="T12" s="5" t="inlineStr">
        <is>
          <t>无</t>
        </is>
      </c>
      <c r="U12" s="63" t="n">
        <v>20</v>
      </c>
      <c r="V12" s="5" t="inlineStr">
        <is>
          <t>无</t>
        </is>
      </c>
      <c r="W12" s="41" t="n">
        <v>20</v>
      </c>
      <c r="X12" s="5" t="inlineStr">
        <is>
          <t>无</t>
        </is>
      </c>
      <c r="Y12" s="83" t="n">
        <v>20</v>
      </c>
      <c r="Z12" s="5" t="inlineStr">
        <is>
          <t>无</t>
        </is>
      </c>
      <c r="AA12" s="84" t="n">
        <v>20</v>
      </c>
      <c r="AB12" s="5" t="inlineStr">
        <is>
          <t>无</t>
        </is>
      </c>
      <c r="AC12" s="5" t="n"/>
      <c r="AD12" s="108" t="n"/>
      <c r="AE12" s="107" t="n"/>
      <c r="AF12" s="107" t="n"/>
      <c r="AG12" s="422" t="n"/>
      <c r="AH12" s="422" t="n"/>
      <c r="AI12" s="5" t="n"/>
      <c r="AJ12" s="112" t="n">
        <v>20</v>
      </c>
      <c r="AK12" s="5" t="inlineStr">
        <is>
          <t>无</t>
        </is>
      </c>
      <c r="AL12" s="119" t="n">
        <v>20</v>
      </c>
      <c r="AM12" s="5" t="inlineStr">
        <is>
          <t>无</t>
        </is>
      </c>
      <c r="AN12" s="427" t="n">
        <v>15</v>
      </c>
      <c r="AO12" s="5" t="inlineStr">
        <is>
          <t>无</t>
        </is>
      </c>
      <c r="AP12" s="428" t="n">
        <v>15</v>
      </c>
      <c r="AQ12" s="5" t="inlineStr">
        <is>
          <t>无</t>
        </is>
      </c>
      <c r="AR12" s="429" t="n">
        <v>15</v>
      </c>
      <c r="AS12" s="5" t="inlineStr">
        <is>
          <t>无</t>
        </is>
      </c>
      <c r="AT12" s="430" t="n">
        <v>15</v>
      </c>
      <c r="AU12" s="5" t="inlineStr">
        <is>
          <t>无</t>
        </is>
      </c>
      <c r="AV12" s="427" t="n">
        <v>15</v>
      </c>
      <c r="AW12" s="5" t="inlineStr">
        <is>
          <t>无</t>
        </is>
      </c>
      <c r="AX12" s="431" t="n">
        <v>15</v>
      </c>
      <c r="AY12" s="5" t="inlineStr">
        <is>
          <t>无</t>
        </is>
      </c>
      <c r="AZ12" s="432" t="n">
        <v>15</v>
      </c>
      <c r="BA12" s="5" t="inlineStr">
        <is>
          <t>无</t>
        </is>
      </c>
      <c r="BB12" s="428" t="n">
        <v>15</v>
      </c>
      <c r="BC12" s="5" t="inlineStr">
        <is>
          <t>无</t>
        </is>
      </c>
      <c r="BD12" s="431" t="n">
        <v>15</v>
      </c>
      <c r="BE12" s="5" t="inlineStr">
        <is>
          <t>无</t>
        </is>
      </c>
      <c r="BF12" s="427" t="n">
        <v>15</v>
      </c>
      <c r="BG12" s="5" t="inlineStr">
        <is>
          <t>无</t>
        </is>
      </c>
      <c r="BH12" s="430" t="n">
        <v>15</v>
      </c>
      <c r="BI12" s="5" t="inlineStr">
        <is>
          <t>无</t>
        </is>
      </c>
      <c r="BJ12" s="429" t="n">
        <v>15</v>
      </c>
      <c r="BK12" s="5" t="inlineStr">
        <is>
          <t>无</t>
        </is>
      </c>
      <c r="BL12" s="430" t="n">
        <v>15</v>
      </c>
      <c r="BM12" s="5" t="inlineStr">
        <is>
          <t>无</t>
        </is>
      </c>
      <c r="BN12" s="189" t="inlineStr">
        <is>
          <t>https://detail.1688.com/offer/617671320043.html?_t=1732790000457&amp;spm=a2615.7691456.co_0_0_wangpu_score_0_0_0_0_0_0_0000_1.0</t>
        </is>
      </c>
      <c r="BO12" s="188" t="n"/>
    </row>
    <row r="13">
      <c r="A13" s="422" t="n"/>
      <c r="B13" s="422" t="n"/>
      <c r="C13" s="422" t="n"/>
      <c r="D13" s="422" t="n"/>
      <c r="E13" s="422" t="n"/>
      <c r="F13" s="16" t="n">
        <v>19.8</v>
      </c>
      <c r="G13" s="16" t="n">
        <v>19.8</v>
      </c>
      <c r="H13" s="422" t="n"/>
      <c r="I13" s="16" t="n">
        <v>19.8</v>
      </c>
      <c r="J13" s="422" t="n"/>
      <c r="K13" s="22" t="n">
        <v>19.8</v>
      </c>
      <c r="L13" s="422" t="n"/>
      <c r="M13" s="28" t="n">
        <v>19.8</v>
      </c>
      <c r="N13" s="423" t="n"/>
      <c r="O13" s="30" t="n">
        <v>19.8</v>
      </c>
      <c r="P13" s="422" t="n"/>
      <c r="Q13" s="41" t="n">
        <v>19.8</v>
      </c>
      <c r="R13" s="422" t="n"/>
      <c r="S13" s="42" t="n">
        <v>19.8</v>
      </c>
      <c r="T13" s="422" t="n"/>
      <c r="U13" s="63" t="n">
        <v>19.8</v>
      </c>
      <c r="V13" s="422" t="n"/>
      <c r="W13" s="41" t="n">
        <v>19.8</v>
      </c>
      <c r="X13" s="422" t="n"/>
      <c r="Y13" s="83" t="n">
        <v>19.8</v>
      </c>
      <c r="Z13" s="422" t="n"/>
      <c r="AA13" s="84" t="n">
        <v>19.8</v>
      </c>
      <c r="AB13" s="422" t="n"/>
      <c r="AC13" s="422" t="n"/>
      <c r="AD13" s="108" t="n"/>
      <c r="AE13" s="422" t="n"/>
      <c r="AF13" s="422" t="n"/>
      <c r="AG13" s="422" t="n"/>
      <c r="AH13" s="422" t="n"/>
      <c r="AI13" s="422" t="n"/>
      <c r="AJ13" s="112" t="n">
        <v>19.8</v>
      </c>
      <c r="AK13" s="422" t="n"/>
      <c r="AL13" s="119" t="n">
        <v>19.8</v>
      </c>
      <c r="AM13" s="422" t="n"/>
      <c r="AN13" s="423" t="n"/>
      <c r="AO13" s="422" t="n"/>
      <c r="AP13" s="423" t="n"/>
      <c r="AQ13" s="422" t="n"/>
      <c r="AR13" s="423" t="n"/>
      <c r="AS13" s="422" t="n"/>
      <c r="AT13" s="423" t="n"/>
      <c r="AU13" s="422" t="n"/>
      <c r="AV13" s="423" t="n"/>
      <c r="AW13" s="422" t="n"/>
      <c r="AX13" s="423" t="n"/>
      <c r="AY13" s="422" t="n"/>
      <c r="AZ13" s="423" t="n"/>
      <c r="BA13" s="422" t="n"/>
      <c r="BB13" s="423" t="n"/>
      <c r="BC13" s="422" t="n"/>
      <c r="BD13" s="423" t="n"/>
      <c r="BE13" s="422" t="n"/>
      <c r="BF13" s="423" t="n"/>
      <c r="BG13" s="422" t="n"/>
      <c r="BH13" s="423" t="n"/>
      <c r="BI13" s="422" t="n"/>
      <c r="BJ13" s="423" t="n"/>
      <c r="BK13" s="422" t="n"/>
      <c r="BL13" s="423" t="n"/>
      <c r="BM13" s="422" t="n"/>
      <c r="BN13" s="422" t="n"/>
      <c r="BO13" s="188" t="n"/>
    </row>
    <row r="14">
      <c r="A14" s="424" t="n"/>
      <c r="B14" s="424" t="n"/>
      <c r="C14" s="424" t="n"/>
      <c r="D14" s="424" t="n"/>
      <c r="E14" s="424" t="n"/>
      <c r="F14" s="18" t="n">
        <v>19.5</v>
      </c>
      <c r="G14" s="18" t="n">
        <v>19.5</v>
      </c>
      <c r="H14" s="424" t="n"/>
      <c r="I14" s="18" t="n">
        <v>19.5</v>
      </c>
      <c r="J14" s="424" t="n"/>
      <c r="K14" s="24" t="n">
        <v>19.5</v>
      </c>
      <c r="L14" s="424" t="n"/>
      <c r="M14" s="32" t="n">
        <v>19.5</v>
      </c>
      <c r="N14" s="425" t="n"/>
      <c r="O14" s="34" t="n">
        <v>19.5</v>
      </c>
      <c r="P14" s="424" t="n"/>
      <c r="Q14" s="43" t="n">
        <v>19.5</v>
      </c>
      <c r="R14" s="424" t="n"/>
      <c r="S14" s="44" t="n">
        <v>19.5</v>
      </c>
      <c r="T14" s="424" t="n"/>
      <c r="U14" s="64" t="n">
        <v>19.5</v>
      </c>
      <c r="V14" s="424" t="n"/>
      <c r="W14" s="43" t="n">
        <v>19.5</v>
      </c>
      <c r="X14" s="424" t="n"/>
      <c r="Y14" s="85" t="n">
        <v>19.5</v>
      </c>
      <c r="Z14" s="424" t="n"/>
      <c r="AA14" s="86" t="n">
        <v>19.5</v>
      </c>
      <c r="AB14" s="424" t="n"/>
      <c r="AC14" s="424" t="n"/>
      <c r="AD14" s="108" t="n"/>
      <c r="AE14" s="422" t="n"/>
      <c r="AF14" s="422" t="n"/>
      <c r="AG14" s="422" t="n"/>
      <c r="AH14" s="422" t="n"/>
      <c r="AI14" s="424" t="n"/>
      <c r="AJ14" s="114" t="n">
        <v>19.5</v>
      </c>
      <c r="AK14" s="424" t="n"/>
      <c r="AL14" s="121" t="n">
        <v>19.5</v>
      </c>
      <c r="AM14" s="424" t="n"/>
      <c r="AN14" s="425" t="n"/>
      <c r="AO14" s="424" t="n"/>
      <c r="AP14" s="425" t="n"/>
      <c r="AQ14" s="424" t="n"/>
      <c r="AR14" s="425" t="n"/>
      <c r="AS14" s="424" t="n"/>
      <c r="AT14" s="425" t="n"/>
      <c r="AU14" s="424" t="n"/>
      <c r="AV14" s="425" t="n"/>
      <c r="AW14" s="424" t="n"/>
      <c r="AX14" s="425" t="n"/>
      <c r="AY14" s="424" t="n"/>
      <c r="AZ14" s="425" t="n"/>
      <c r="BA14" s="424" t="n"/>
      <c r="BB14" s="425" t="n"/>
      <c r="BC14" s="424" t="n"/>
      <c r="BD14" s="425" t="n"/>
      <c r="BE14" s="424" t="n"/>
      <c r="BF14" s="425" t="n"/>
      <c r="BG14" s="424" t="n"/>
      <c r="BH14" s="425" t="n"/>
      <c r="BI14" s="424" t="n"/>
      <c r="BJ14" s="425" t="n"/>
      <c r="BK14" s="424" t="n"/>
      <c r="BL14" s="425" t="n"/>
      <c r="BM14" s="424" t="n"/>
      <c r="BN14" s="424" t="n"/>
      <c r="BO14" s="188" t="n"/>
    </row>
    <row r="15" ht="17" customHeight="1" s="418">
      <c r="A15" s="4" t="inlineStr">
        <is>
          <t>mini8/9/11/12</t>
        </is>
      </c>
      <c r="B15" s="4" t="inlineStr">
        <is>
          <t>花色卡通动物</t>
        </is>
      </c>
      <c r="C15" s="5" t="inlineStr">
        <is>
          <t>300+</t>
        </is>
      </c>
      <c r="D15" s="2">
        <f>_xlfn.DISPIMG("ID_ECA632FAA3A14BD198C9DAAC26B2046F",1)</f>
        <v/>
      </c>
      <c r="E15" s="15" t="inlineStr">
        <is>
          <t xml:space="preserve">1-299      </t>
        </is>
      </c>
      <c r="F15" s="16" t="n">
        <v>21</v>
      </c>
      <c r="G15" s="16" t="n">
        <v>21</v>
      </c>
      <c r="H15" s="5" t="inlineStr">
        <is>
          <t>无</t>
        </is>
      </c>
      <c r="I15" s="16" t="n">
        <v>21</v>
      </c>
      <c r="J15" s="5" t="inlineStr">
        <is>
          <t>无</t>
        </is>
      </c>
      <c r="K15" s="22" t="n">
        <v>21</v>
      </c>
      <c r="L15" s="5" t="inlineStr">
        <is>
          <t>无</t>
        </is>
      </c>
      <c r="M15" s="28" t="n">
        <v>21</v>
      </c>
      <c r="N15" s="301" t="inlineStr">
        <is>
          <t>无</t>
        </is>
      </c>
      <c r="O15" s="30" t="n">
        <v>21</v>
      </c>
      <c r="P15" s="5" t="inlineStr">
        <is>
          <t>无</t>
        </is>
      </c>
      <c r="Q15" s="41" t="n">
        <v>21</v>
      </c>
      <c r="R15" s="5" t="inlineStr">
        <is>
          <t>无</t>
        </is>
      </c>
      <c r="S15" s="42" t="n">
        <v>21</v>
      </c>
      <c r="T15" s="5" t="inlineStr">
        <is>
          <t>无</t>
        </is>
      </c>
      <c r="U15" s="63" t="n">
        <v>21</v>
      </c>
      <c r="V15" s="5" t="inlineStr">
        <is>
          <t>无</t>
        </is>
      </c>
      <c r="W15" s="45" t="n">
        <v>21</v>
      </c>
      <c r="X15" s="5" t="inlineStr">
        <is>
          <t>无</t>
        </is>
      </c>
      <c r="Y15" s="87" t="n">
        <v>21</v>
      </c>
      <c r="Z15" s="5" t="inlineStr">
        <is>
          <t>无</t>
        </is>
      </c>
      <c r="AA15" s="88" t="n">
        <v>21</v>
      </c>
      <c r="AB15" s="5" t="inlineStr">
        <is>
          <t>无</t>
        </is>
      </c>
      <c r="AC15" s="5" t="inlineStr">
        <is>
          <t>24.6（11/12/9 通用）</t>
        </is>
      </c>
      <c r="AD15" s="3" t="n"/>
      <c r="AE15" s="107" t="n"/>
      <c r="AF15" s="107" t="n"/>
      <c r="AG15" s="422" t="n"/>
      <c r="AH15" s="422" t="n"/>
      <c r="AI15" s="5" t="n"/>
      <c r="AJ15" s="112" t="n">
        <v>21</v>
      </c>
      <c r="AK15" s="5" t="inlineStr">
        <is>
          <t>无</t>
        </is>
      </c>
      <c r="AL15" s="119" t="n">
        <v>21</v>
      </c>
      <c r="AM15" s="5" t="inlineStr">
        <is>
          <t>无</t>
        </is>
      </c>
      <c r="AN15" s="120" t="n">
        <v>21</v>
      </c>
      <c r="AO15" s="5" t="inlineStr">
        <is>
          <t>无</t>
        </is>
      </c>
      <c r="AP15" s="142" t="n">
        <v>21</v>
      </c>
      <c r="AQ15" s="5" t="inlineStr">
        <is>
          <t>无</t>
        </is>
      </c>
      <c r="AR15" s="112" t="n">
        <v>21</v>
      </c>
      <c r="AS15" s="5" t="inlineStr">
        <is>
          <t>无</t>
        </is>
      </c>
      <c r="AT15" s="119" t="n">
        <v>21</v>
      </c>
      <c r="AU15" s="5" t="inlineStr">
        <is>
          <t>无</t>
        </is>
      </c>
      <c r="AV15" s="120" t="n">
        <v>21</v>
      </c>
      <c r="AW15" s="5" t="inlineStr">
        <is>
          <t>无</t>
        </is>
      </c>
      <c r="AX15" s="163" t="n">
        <v>21</v>
      </c>
      <c r="AY15" s="5" t="inlineStr">
        <is>
          <t>无</t>
        </is>
      </c>
      <c r="AZ15" s="164" t="n">
        <v>21</v>
      </c>
      <c r="BA15" s="5" t="inlineStr">
        <is>
          <t>无</t>
        </is>
      </c>
      <c r="BB15" s="142" t="n">
        <v>21</v>
      </c>
      <c r="BC15" s="5" t="inlineStr">
        <is>
          <t>无</t>
        </is>
      </c>
      <c r="BD15" s="163" t="n">
        <v>21</v>
      </c>
      <c r="BE15" s="5" t="inlineStr">
        <is>
          <t>无</t>
        </is>
      </c>
      <c r="BF15" s="120" t="n">
        <v>21</v>
      </c>
      <c r="BG15" s="5" t="inlineStr">
        <is>
          <t>无</t>
        </is>
      </c>
      <c r="BH15" s="119" t="n">
        <v>21</v>
      </c>
      <c r="BI15" s="5" t="inlineStr">
        <is>
          <t>无</t>
        </is>
      </c>
      <c r="BJ15" s="112" t="n">
        <v>21</v>
      </c>
      <c r="BK15" s="5" t="inlineStr">
        <is>
          <t>无</t>
        </is>
      </c>
      <c r="BL15" s="119" t="n">
        <v>21</v>
      </c>
      <c r="BM15" s="5" t="inlineStr">
        <is>
          <t>无</t>
        </is>
      </c>
      <c r="BN15" s="189" t="inlineStr">
        <is>
          <t>https://detail.1688.com/offer/657996898326.html?_t=1731395469207&amp;spm=a2615.7691456.co_1_0_wangpu_score_0_0_0_0_0_0_0000_0.0</t>
        </is>
      </c>
      <c r="BO15" s="188" t="n"/>
    </row>
    <row r="16" ht="17" customHeight="1" s="418">
      <c r="A16" s="422" t="n"/>
      <c r="B16" s="422" t="n"/>
      <c r="C16" s="422" t="n"/>
      <c r="D16" s="422" t="n"/>
      <c r="E16" s="17" t="inlineStr">
        <is>
          <t>300-2999</t>
        </is>
      </c>
      <c r="F16" s="16" t="n">
        <v>20.8</v>
      </c>
      <c r="G16" s="16" t="n">
        <v>20.8</v>
      </c>
      <c r="H16" s="422" t="n"/>
      <c r="I16" s="16" t="n">
        <v>20.8</v>
      </c>
      <c r="J16" s="422" t="n"/>
      <c r="K16" s="22" t="n">
        <v>20.8</v>
      </c>
      <c r="L16" s="422" t="n"/>
      <c r="M16" s="28" t="n">
        <v>20.8</v>
      </c>
      <c r="N16" s="423" t="n"/>
      <c r="O16" s="30" t="n">
        <v>20.8</v>
      </c>
      <c r="P16" s="422" t="n"/>
      <c r="Q16" s="41" t="n">
        <v>20.8</v>
      </c>
      <c r="R16" s="422" t="n"/>
      <c r="S16" s="42" t="n">
        <v>20.8</v>
      </c>
      <c r="T16" s="422" t="n"/>
      <c r="U16" s="63" t="n">
        <v>20.8</v>
      </c>
      <c r="V16" s="422" t="n"/>
      <c r="W16" s="45" t="n">
        <v>20.8</v>
      </c>
      <c r="X16" s="422" t="n"/>
      <c r="Y16" s="87" t="n">
        <v>20.8</v>
      </c>
      <c r="Z16" s="422" t="n"/>
      <c r="AA16" s="88" t="n">
        <v>20.8</v>
      </c>
      <c r="AB16" s="422" t="n"/>
      <c r="AC16" s="422" t="n"/>
      <c r="AD16" s="422" t="n"/>
      <c r="AE16" s="422" t="n"/>
      <c r="AF16" s="422" t="n"/>
      <c r="AG16" s="422" t="n"/>
      <c r="AH16" s="422" t="n"/>
      <c r="AI16" s="422" t="n"/>
      <c r="AJ16" s="112" t="n">
        <v>20.8</v>
      </c>
      <c r="AK16" s="422" t="n"/>
      <c r="AL16" s="119" t="n">
        <v>20.8</v>
      </c>
      <c r="AM16" s="422" t="n"/>
      <c r="AN16" s="120" t="n">
        <v>20.8</v>
      </c>
      <c r="AO16" s="422" t="n"/>
      <c r="AP16" s="142" t="n">
        <v>20.8</v>
      </c>
      <c r="AQ16" s="422" t="n"/>
      <c r="AR16" s="112" t="n">
        <v>20.8</v>
      </c>
      <c r="AS16" s="422" t="n"/>
      <c r="AT16" s="119" t="n">
        <v>20.8</v>
      </c>
      <c r="AU16" s="422" t="n"/>
      <c r="AV16" s="120" t="n">
        <v>20.8</v>
      </c>
      <c r="AW16" s="422" t="n"/>
      <c r="AX16" s="163" t="n">
        <v>20.8</v>
      </c>
      <c r="AY16" s="422" t="n"/>
      <c r="AZ16" s="164" t="n">
        <v>20.8</v>
      </c>
      <c r="BA16" s="422" t="n"/>
      <c r="BB16" s="142" t="n">
        <v>20.8</v>
      </c>
      <c r="BC16" s="422" t="n"/>
      <c r="BD16" s="163" t="n">
        <v>20.8</v>
      </c>
      <c r="BE16" s="422" t="n"/>
      <c r="BF16" s="120" t="n">
        <v>20.8</v>
      </c>
      <c r="BG16" s="422" t="n"/>
      <c r="BH16" s="119" t="n">
        <v>20.8</v>
      </c>
      <c r="BI16" s="422" t="n"/>
      <c r="BJ16" s="112" t="n">
        <v>20.8</v>
      </c>
      <c r="BK16" s="422" t="n"/>
      <c r="BL16" s="119" t="n">
        <v>20.8</v>
      </c>
      <c r="BM16" s="422" t="n"/>
      <c r="BN16" s="422" t="n"/>
      <c r="BO16" s="188" t="n"/>
    </row>
    <row r="17" ht="17" customHeight="1" s="418">
      <c r="A17" s="424" t="n"/>
      <c r="B17" s="424" t="n"/>
      <c r="C17" s="424" t="n"/>
      <c r="D17" s="424" t="n"/>
      <c r="E17" s="15" t="inlineStr">
        <is>
          <t xml:space="preserve">≥3000：   </t>
        </is>
      </c>
      <c r="F17" s="18" t="n">
        <v>20.5</v>
      </c>
      <c r="G17" s="18" t="n">
        <v>20.5</v>
      </c>
      <c r="H17" s="424" t="n"/>
      <c r="I17" s="18" t="n">
        <v>20.5</v>
      </c>
      <c r="J17" s="424" t="n"/>
      <c r="K17" s="24" t="n">
        <v>20.5</v>
      </c>
      <c r="L17" s="424" t="n"/>
      <c r="M17" s="32" t="n">
        <v>20.5</v>
      </c>
      <c r="N17" s="425" t="n"/>
      <c r="O17" s="34" t="n">
        <v>20.5</v>
      </c>
      <c r="P17" s="424" t="n"/>
      <c r="Q17" s="43" t="n">
        <v>20.5</v>
      </c>
      <c r="R17" s="424" t="n"/>
      <c r="S17" s="44" t="n">
        <v>20.5</v>
      </c>
      <c r="T17" s="424" t="n"/>
      <c r="U17" s="64" t="n">
        <v>20.5</v>
      </c>
      <c r="V17" s="424" t="n"/>
      <c r="W17" s="68" t="n">
        <v>20.5</v>
      </c>
      <c r="X17" s="424" t="n"/>
      <c r="Y17" s="91" t="n">
        <v>20.5</v>
      </c>
      <c r="Z17" s="424" t="n"/>
      <c r="AA17" s="92" t="n">
        <v>20.5</v>
      </c>
      <c r="AB17" s="424" t="n"/>
      <c r="AC17" s="424" t="n"/>
      <c r="AD17" s="424" t="n"/>
      <c r="AE17" s="422" t="n"/>
      <c r="AF17" s="422" t="n"/>
      <c r="AG17" s="422" t="n"/>
      <c r="AH17" s="422" t="n"/>
      <c r="AI17" s="424" t="n"/>
      <c r="AJ17" s="114" t="n">
        <v>20.5</v>
      </c>
      <c r="AK17" s="424" t="n"/>
      <c r="AL17" s="121" t="n">
        <v>20.5</v>
      </c>
      <c r="AM17" s="424" t="n"/>
      <c r="AN17" s="122" t="n">
        <v>20.5</v>
      </c>
      <c r="AO17" s="424" t="n"/>
      <c r="AP17" s="143" t="n">
        <v>20.5</v>
      </c>
      <c r="AQ17" s="424" t="n"/>
      <c r="AR17" s="114" t="n">
        <v>20.5</v>
      </c>
      <c r="AS17" s="424" t="n"/>
      <c r="AT17" s="121" t="n">
        <v>20.5</v>
      </c>
      <c r="AU17" s="424" t="n"/>
      <c r="AV17" s="122" t="n">
        <v>20.5</v>
      </c>
      <c r="AW17" s="424" t="n"/>
      <c r="AX17" s="165" t="n">
        <v>20.5</v>
      </c>
      <c r="AY17" s="424" t="n"/>
      <c r="AZ17" s="166" t="n">
        <v>20.5</v>
      </c>
      <c r="BA17" s="424" t="n"/>
      <c r="BB17" s="143" t="n">
        <v>20.5</v>
      </c>
      <c r="BC17" s="424" t="n"/>
      <c r="BD17" s="165" t="n">
        <v>20.5</v>
      </c>
      <c r="BE17" s="424" t="n"/>
      <c r="BF17" s="122" t="n">
        <v>20.5</v>
      </c>
      <c r="BG17" s="424" t="n"/>
      <c r="BH17" s="121" t="n">
        <v>20.5</v>
      </c>
      <c r="BI17" s="424" t="n"/>
      <c r="BJ17" s="114" t="n">
        <v>20.5</v>
      </c>
      <c r="BK17" s="424" t="n"/>
      <c r="BL17" s="121" t="n">
        <v>20.5</v>
      </c>
      <c r="BM17" s="424" t="n"/>
      <c r="BN17" s="424" t="n"/>
      <c r="BO17" s="188" t="n"/>
    </row>
    <row r="18" ht="17" customHeight="1" s="418">
      <c r="A18" s="4" t="inlineStr">
        <is>
          <t>mini12</t>
        </is>
      </c>
      <c r="B18" s="4" t="inlineStr">
        <is>
          <t>纯色
后袋+扣子</t>
        </is>
      </c>
      <c r="C18" s="5" t="inlineStr">
        <is>
          <t>1W+</t>
        </is>
      </c>
      <c r="D18" s="2">
        <f>_xlfn.DISPIMG("ID_44FBEF72775E49D8BB8400174EEE7E40",1)</f>
        <v/>
      </c>
      <c r="E18" s="15" t="inlineStr">
        <is>
          <t xml:space="preserve">1-999      </t>
        </is>
      </c>
      <c r="F18" s="16" t="n">
        <v>18</v>
      </c>
      <c r="G18" s="16" t="n">
        <v>18</v>
      </c>
      <c r="H18" s="5" t="inlineStr">
        <is>
          <t>无</t>
        </is>
      </c>
      <c r="I18" s="16" t="n">
        <v>18</v>
      </c>
      <c r="J18" s="5" t="inlineStr">
        <is>
          <t>无</t>
        </is>
      </c>
      <c r="K18" s="22" t="n">
        <v>18</v>
      </c>
      <c r="L18" s="5" t="inlineStr">
        <is>
          <t>无</t>
        </is>
      </c>
      <c r="M18" s="28" t="n">
        <v>18</v>
      </c>
      <c r="N18" s="301" t="inlineStr">
        <is>
          <t>无</t>
        </is>
      </c>
      <c r="O18" s="30" t="n">
        <v>18</v>
      </c>
      <c r="P18" s="5" t="inlineStr">
        <is>
          <t>无</t>
        </is>
      </c>
      <c r="Q18" s="43" t="n">
        <v>18</v>
      </c>
      <c r="R18" s="5" t="inlineStr">
        <is>
          <t>无</t>
        </is>
      </c>
      <c r="S18" s="44" t="n">
        <v>18</v>
      </c>
      <c r="T18" s="5" t="inlineStr">
        <is>
          <t>无</t>
        </is>
      </c>
      <c r="U18" s="64" t="n">
        <v>18</v>
      </c>
      <c r="V18" s="5" t="inlineStr">
        <is>
          <t>无</t>
        </is>
      </c>
      <c r="W18" s="68" t="n">
        <v>18</v>
      </c>
      <c r="X18" s="5" t="inlineStr">
        <is>
          <t>无</t>
        </is>
      </c>
      <c r="Y18" s="91" t="n">
        <v>18</v>
      </c>
      <c r="Z18" s="5" t="inlineStr">
        <is>
          <t>无</t>
        </is>
      </c>
      <c r="AA18" s="92" t="n">
        <v>18</v>
      </c>
      <c r="AB18" s="5" t="inlineStr">
        <is>
          <t>无</t>
        </is>
      </c>
      <c r="AC18" s="5" t="n">
        <v>22.5</v>
      </c>
      <c r="AD18" s="3" t="n"/>
      <c r="AE18" s="107" t="n"/>
      <c r="AF18" s="107" t="n"/>
      <c r="AG18" s="422" t="n"/>
      <c r="AH18" s="422" t="n"/>
      <c r="AI18" s="5" t="inlineStr">
        <is>
          <t>扣子有后袋</t>
        </is>
      </c>
      <c r="AJ18" s="114" t="n">
        <v>18</v>
      </c>
      <c r="AK18" s="5" t="inlineStr">
        <is>
          <t>无</t>
        </is>
      </c>
      <c r="AL18" s="121" t="n">
        <v>18</v>
      </c>
      <c r="AM18" s="124" t="inlineStr">
        <is>
          <t>加时光相册23元</t>
        </is>
      </c>
      <c r="AN18" s="122" t="n">
        <v>18</v>
      </c>
      <c r="AO18" s="124" t="inlineStr">
        <is>
          <t>加时光相册23元</t>
        </is>
      </c>
      <c r="AP18" s="143" t="n">
        <v>18</v>
      </c>
      <c r="AQ18" s="124" t="inlineStr">
        <is>
          <t>加时光相册23元</t>
        </is>
      </c>
      <c r="AR18" s="114" t="n">
        <v>18</v>
      </c>
      <c r="AS18" s="124" t="inlineStr">
        <is>
          <t>加时光相册23元</t>
        </is>
      </c>
      <c r="AT18" s="121" t="n">
        <v>18</v>
      </c>
      <c r="AU18" s="124" t="inlineStr">
        <is>
          <t>加时光相册23元</t>
        </is>
      </c>
      <c r="AV18" s="122" t="n">
        <v>18</v>
      </c>
      <c r="AW18" s="124" t="inlineStr">
        <is>
          <t>加时光相册23元</t>
        </is>
      </c>
      <c r="AX18" s="165" t="n">
        <v>18</v>
      </c>
      <c r="AY18" s="124" t="inlineStr">
        <is>
          <t>加时光相册23元</t>
        </is>
      </c>
      <c r="AZ18" s="166" t="n">
        <v>18</v>
      </c>
      <c r="BA18" s="124" t="inlineStr">
        <is>
          <t>加时光相册23元</t>
        </is>
      </c>
      <c r="BB18" s="143" t="n">
        <v>18</v>
      </c>
      <c r="BC18" s="124" t="inlineStr">
        <is>
          <t>加时光相册23元</t>
        </is>
      </c>
      <c r="BD18" s="165" t="n">
        <v>18</v>
      </c>
      <c r="BE18" s="124" t="inlineStr">
        <is>
          <t>加时光相册23元</t>
        </is>
      </c>
      <c r="BF18" s="122" t="n">
        <v>17</v>
      </c>
      <c r="BG18" s="124" t="inlineStr">
        <is>
          <t>加时光相册23元</t>
        </is>
      </c>
      <c r="BH18" s="121" t="n">
        <v>17</v>
      </c>
      <c r="BI18" s="124" t="inlineStr">
        <is>
          <t>加时光相册23元</t>
        </is>
      </c>
      <c r="BJ18" s="114" t="n">
        <v>18</v>
      </c>
      <c r="BK18" s="124" t="inlineStr">
        <is>
          <t>加时光相册23元</t>
        </is>
      </c>
      <c r="BL18" s="121" t="n">
        <v>18</v>
      </c>
      <c r="BM18" s="124" t="inlineStr">
        <is>
          <t>加时光相册23元</t>
        </is>
      </c>
      <c r="BN18" s="189" t="inlineStr">
        <is>
          <t>https://detail.1688.com/offer/617837893058.html?_t=1731392024147&amp;spm=a2615.7691456.co_0_0_wangpu_score_0_0_0_0_0_0_0000_0.0</t>
        </is>
      </c>
      <c r="BO18" s="188" t="n"/>
    </row>
    <row r="19" ht="34" customHeight="1" s="418">
      <c r="A19" s="422" t="n"/>
      <c r="B19" s="422" t="n"/>
      <c r="C19" s="422" t="n"/>
      <c r="D19" s="422" t="n"/>
      <c r="E19" s="17" t="inlineStr">
        <is>
          <t>1000-19999</t>
        </is>
      </c>
      <c r="F19" s="16" t="n">
        <v>17</v>
      </c>
      <c r="G19" s="16" t="n">
        <v>17</v>
      </c>
      <c r="H19" s="422" t="n"/>
      <c r="I19" s="16" t="n">
        <v>17</v>
      </c>
      <c r="J19" s="422" t="n"/>
      <c r="K19" s="22" t="n">
        <v>17</v>
      </c>
      <c r="L19" s="422" t="n"/>
      <c r="M19" s="28" t="n">
        <v>17</v>
      </c>
      <c r="N19" s="423" t="n"/>
      <c r="O19" s="30" t="n">
        <v>17</v>
      </c>
      <c r="P19" s="422" t="n"/>
      <c r="Q19" s="423" t="n"/>
      <c r="R19" s="422" t="n"/>
      <c r="S19" s="423" t="n"/>
      <c r="T19" s="422" t="n"/>
      <c r="U19" s="423" t="n"/>
      <c r="V19" s="422" t="n"/>
      <c r="W19" s="423" t="n"/>
      <c r="X19" s="422" t="n"/>
      <c r="Y19" s="423" t="n"/>
      <c r="Z19" s="422" t="n"/>
      <c r="AA19" s="423" t="n"/>
      <c r="AB19" s="422" t="n"/>
      <c r="AC19" s="422" t="n"/>
      <c r="AD19" s="422" t="n"/>
      <c r="AE19" s="422" t="n"/>
      <c r="AF19" s="422" t="n"/>
      <c r="AG19" s="422" t="n"/>
      <c r="AH19" s="422" t="n"/>
      <c r="AI19" s="422" t="n"/>
      <c r="AJ19" s="423" t="n"/>
      <c r="AK19" s="422" t="n"/>
      <c r="AL19" s="423" t="n"/>
      <c r="AM19" s="422" t="n"/>
      <c r="AN19" s="423" t="n"/>
      <c r="AO19" s="422" t="n"/>
      <c r="AP19" s="423" t="n"/>
      <c r="AQ19" s="422" t="n"/>
      <c r="AR19" s="423" t="n"/>
      <c r="AS19" s="422" t="n"/>
      <c r="AT19" s="423" t="n"/>
      <c r="AU19" s="422" t="n"/>
      <c r="AV19" s="423" t="n"/>
      <c r="AW19" s="422" t="n"/>
      <c r="AX19" s="423" t="n"/>
      <c r="AY19" s="422" t="n"/>
      <c r="AZ19" s="423" t="n"/>
      <c r="BA19" s="422" t="n"/>
      <c r="BB19" s="423" t="n"/>
      <c r="BC19" s="422" t="n"/>
      <c r="BD19" s="423" t="n"/>
      <c r="BE19" s="422" t="n"/>
      <c r="BF19" s="423" t="n"/>
      <c r="BG19" s="422" t="n"/>
      <c r="BH19" s="423" t="n"/>
      <c r="BI19" s="422" t="n"/>
      <c r="BJ19" s="423" t="n"/>
      <c r="BK19" s="422" t="n"/>
      <c r="BL19" s="423" t="n"/>
      <c r="BM19" s="422" t="n"/>
      <c r="BN19" s="422" t="n"/>
      <c r="BO19" s="188" t="n"/>
    </row>
    <row r="20" ht="34" customHeight="1" s="418">
      <c r="A20" s="424" t="n"/>
      <c r="B20" s="424" t="n"/>
      <c r="C20" s="424" t="n"/>
      <c r="D20" s="424" t="n"/>
      <c r="E20" s="15" t="inlineStr">
        <is>
          <t xml:space="preserve">≥20000：   </t>
        </is>
      </c>
      <c r="F20" s="18" t="n">
        <v>16</v>
      </c>
      <c r="G20" s="18" t="n">
        <v>16</v>
      </c>
      <c r="H20" s="424" t="n"/>
      <c r="I20" s="18" t="n">
        <v>16</v>
      </c>
      <c r="J20" s="424" t="n"/>
      <c r="K20" s="22" t="n">
        <v>16</v>
      </c>
      <c r="L20" s="424" t="n"/>
      <c r="M20" s="28" t="n">
        <v>16</v>
      </c>
      <c r="N20" s="425" t="n"/>
      <c r="O20" s="30" t="n">
        <v>16</v>
      </c>
      <c r="P20" s="424" t="n"/>
      <c r="Q20" s="425" t="n"/>
      <c r="R20" s="424" t="n"/>
      <c r="S20" s="425" t="n"/>
      <c r="T20" s="424" t="n"/>
      <c r="U20" s="425" t="n"/>
      <c r="V20" s="424" t="n"/>
      <c r="W20" s="425" t="n"/>
      <c r="X20" s="424" t="n"/>
      <c r="Y20" s="425" t="n"/>
      <c r="Z20" s="424" t="n"/>
      <c r="AA20" s="425" t="n"/>
      <c r="AB20" s="424" t="n"/>
      <c r="AC20" s="424" t="n"/>
      <c r="AD20" s="424" t="n"/>
      <c r="AE20" s="422" t="n"/>
      <c r="AF20" s="422" t="n"/>
      <c r="AG20" s="422" t="n"/>
      <c r="AH20" s="422" t="n"/>
      <c r="AI20" s="424" t="n"/>
      <c r="AJ20" s="425" t="n"/>
      <c r="AK20" s="424" t="n"/>
      <c r="AL20" s="425" t="n"/>
      <c r="AM20" s="424" t="n"/>
      <c r="AN20" s="425" t="n"/>
      <c r="AO20" s="424" t="n"/>
      <c r="AP20" s="425" t="n"/>
      <c r="AQ20" s="424" t="n"/>
      <c r="AR20" s="425" t="n"/>
      <c r="AS20" s="424" t="n"/>
      <c r="AT20" s="425" t="n"/>
      <c r="AU20" s="424" t="n"/>
      <c r="AV20" s="425" t="n"/>
      <c r="AW20" s="424" t="n"/>
      <c r="AX20" s="425" t="n"/>
      <c r="AY20" s="424" t="n"/>
      <c r="AZ20" s="425" t="n"/>
      <c r="BA20" s="424" t="n"/>
      <c r="BB20" s="425" t="n"/>
      <c r="BC20" s="424" t="n"/>
      <c r="BD20" s="425" t="n"/>
      <c r="BE20" s="424" t="n"/>
      <c r="BF20" s="425" t="n"/>
      <c r="BG20" s="424" t="n"/>
      <c r="BH20" s="425" t="n"/>
      <c r="BI20" s="424" t="n"/>
      <c r="BJ20" s="425" t="n"/>
      <c r="BK20" s="424" t="n"/>
      <c r="BL20" s="425" t="n"/>
      <c r="BM20" s="424" t="n"/>
      <c r="BN20" s="424" t="n"/>
      <c r="BO20" s="188" t="n"/>
    </row>
    <row r="21" ht="17" customHeight="1" s="418">
      <c r="A21" s="4" t="inlineStr">
        <is>
          <t>mini12</t>
        </is>
      </c>
      <c r="B21" s="4" t="inlineStr">
        <is>
          <t>纯色
后袋+磁吸</t>
        </is>
      </c>
      <c r="C21" s="5" t="inlineStr">
        <is>
          <t>600+</t>
        </is>
      </c>
      <c r="D21" s="2">
        <f>_xlfn.DISPIMG("ID_6E22EB2D202C4D35B9E085FA24B45AB7",1)</f>
        <v/>
      </c>
      <c r="E21" s="15" t="inlineStr">
        <is>
          <t xml:space="preserve">1-999      </t>
        </is>
      </c>
      <c r="F21" s="16" t="n">
        <v>20</v>
      </c>
      <c r="G21" s="16" t="n">
        <v>20</v>
      </c>
      <c r="H21" s="5" t="inlineStr">
        <is>
          <t>无</t>
        </is>
      </c>
      <c r="I21" s="16" t="n">
        <v>20</v>
      </c>
      <c r="J21" s="5" t="inlineStr">
        <is>
          <t>无</t>
        </is>
      </c>
      <c r="K21" s="22" t="n">
        <v>20</v>
      </c>
      <c r="L21" s="5" t="inlineStr">
        <is>
          <t>无</t>
        </is>
      </c>
      <c r="M21" s="28" t="n">
        <v>20</v>
      </c>
      <c r="N21" s="301" t="inlineStr">
        <is>
          <t>无</t>
        </is>
      </c>
      <c r="O21" s="30" t="n">
        <v>20</v>
      </c>
      <c r="P21" s="5" t="inlineStr">
        <is>
          <t>无</t>
        </is>
      </c>
      <c r="Q21" s="41" t="n">
        <v>20</v>
      </c>
      <c r="R21" s="5" t="inlineStr">
        <is>
          <t>无</t>
        </is>
      </c>
      <c r="S21" s="42" t="n">
        <v>20</v>
      </c>
      <c r="T21" s="5" t="inlineStr">
        <is>
          <t>无</t>
        </is>
      </c>
      <c r="U21" s="63" t="n">
        <v>20</v>
      </c>
      <c r="V21" s="5" t="inlineStr">
        <is>
          <t>无</t>
        </is>
      </c>
      <c r="W21" s="45" t="n">
        <v>20</v>
      </c>
      <c r="X21" s="5" t="inlineStr">
        <is>
          <t>无</t>
        </is>
      </c>
      <c r="Y21" s="87" t="n">
        <v>20</v>
      </c>
      <c r="Z21" s="5" t="inlineStr">
        <is>
          <t>无</t>
        </is>
      </c>
      <c r="AA21" s="88" t="n">
        <v>20</v>
      </c>
      <c r="AB21" s="5" t="inlineStr">
        <is>
          <t>无</t>
        </is>
      </c>
      <c r="AC21" s="5" t="n">
        <v>22.5</v>
      </c>
      <c r="AD21" s="3" t="n"/>
      <c r="AE21" s="107" t="n"/>
      <c r="AF21" s="107" t="n"/>
      <c r="AG21" s="422" t="n"/>
      <c r="AH21" s="422" t="n"/>
      <c r="AI21" s="5" t="inlineStr">
        <is>
          <t>磁吸有后袋</t>
        </is>
      </c>
      <c r="AJ21" s="112" t="n">
        <v>20</v>
      </c>
      <c r="AK21" s="5" t="inlineStr">
        <is>
          <t>无</t>
        </is>
      </c>
      <c r="AL21" s="119" t="n">
        <v>20</v>
      </c>
      <c r="AM21" s="5" t="inlineStr">
        <is>
          <t>无</t>
        </is>
      </c>
      <c r="AN21" s="120" t="n">
        <v>20</v>
      </c>
      <c r="AO21" s="5" t="inlineStr">
        <is>
          <t>无</t>
        </is>
      </c>
      <c r="AP21" s="142" t="n">
        <v>20</v>
      </c>
      <c r="AQ21" s="5" t="inlineStr">
        <is>
          <t>无</t>
        </is>
      </c>
      <c r="AR21" s="112" t="n">
        <v>20</v>
      </c>
      <c r="AS21" s="5" t="inlineStr">
        <is>
          <t>无</t>
        </is>
      </c>
      <c r="AT21" s="119" t="n">
        <v>20</v>
      </c>
      <c r="AU21" s="5" t="inlineStr">
        <is>
          <t>无</t>
        </is>
      </c>
      <c r="AV21" s="120" t="n">
        <v>20</v>
      </c>
      <c r="AW21" s="5" t="inlineStr">
        <is>
          <t>无</t>
        </is>
      </c>
      <c r="AX21" s="163" t="n">
        <v>20</v>
      </c>
      <c r="AY21" s="5" t="inlineStr">
        <is>
          <t>无</t>
        </is>
      </c>
      <c r="AZ21" s="164" t="n">
        <v>20</v>
      </c>
      <c r="BA21" s="5" t="inlineStr">
        <is>
          <t>无</t>
        </is>
      </c>
      <c r="BB21" s="142" t="n">
        <v>20</v>
      </c>
      <c r="BC21" s="5" t="inlineStr">
        <is>
          <t>无</t>
        </is>
      </c>
      <c r="BD21" s="163" t="n">
        <v>20</v>
      </c>
      <c r="BE21" s="5" t="inlineStr">
        <is>
          <t>无</t>
        </is>
      </c>
      <c r="BF21" s="120" t="n">
        <v>20</v>
      </c>
      <c r="BG21" s="5" t="inlineStr">
        <is>
          <t>无</t>
        </is>
      </c>
      <c r="BH21" s="119" t="n">
        <v>20</v>
      </c>
      <c r="BI21" s="5" t="inlineStr">
        <is>
          <t>无</t>
        </is>
      </c>
      <c r="BJ21" s="112" t="n">
        <v>20</v>
      </c>
      <c r="BK21" s="5" t="inlineStr">
        <is>
          <t>无</t>
        </is>
      </c>
      <c r="BL21" s="119" t="n">
        <v>20</v>
      </c>
      <c r="BM21" s="5" t="inlineStr">
        <is>
          <t>无</t>
        </is>
      </c>
      <c r="BN21" s="189" t="inlineStr">
        <is>
          <t>https://detail.1688.com/offer/650524577801.html?_t=1732839689427&amp;spm=a2615.7691456.co_0_0_tradenumdown_0_0_0_0_0_0_0000_0.0</t>
        </is>
      </c>
      <c r="BO21" s="188" t="n"/>
    </row>
    <row r="22" ht="34" customHeight="1" s="418">
      <c r="A22" s="422" t="n"/>
      <c r="B22" s="422" t="n"/>
      <c r="C22" s="422" t="n"/>
      <c r="D22" s="422" t="n"/>
      <c r="E22" s="17" t="inlineStr">
        <is>
          <t>1000-19999</t>
        </is>
      </c>
      <c r="F22" s="16" t="n">
        <v>19.5</v>
      </c>
      <c r="G22" s="16" t="n">
        <v>19.5</v>
      </c>
      <c r="H22" s="422" t="n"/>
      <c r="I22" s="16" t="n">
        <v>19.5</v>
      </c>
      <c r="J22" s="422" t="n"/>
      <c r="K22" s="22" t="n">
        <v>19.5</v>
      </c>
      <c r="L22" s="422" t="n"/>
      <c r="M22" s="28" t="n">
        <v>19.5</v>
      </c>
      <c r="N22" s="423" t="n"/>
      <c r="O22" s="30" t="n">
        <v>19.5</v>
      </c>
      <c r="P22" s="422" t="n"/>
      <c r="Q22" s="41" t="n">
        <v>19.5</v>
      </c>
      <c r="R22" s="422" t="n"/>
      <c r="S22" s="42" t="n">
        <v>19.5</v>
      </c>
      <c r="T22" s="422" t="n"/>
      <c r="U22" s="63" t="n">
        <v>19.5</v>
      </c>
      <c r="V22" s="422" t="n"/>
      <c r="W22" s="45" t="n">
        <v>19.5</v>
      </c>
      <c r="X22" s="422" t="n"/>
      <c r="Y22" s="87" t="n">
        <v>19.5</v>
      </c>
      <c r="Z22" s="422" t="n"/>
      <c r="AA22" s="88" t="n">
        <v>19.5</v>
      </c>
      <c r="AB22" s="422" t="n"/>
      <c r="AC22" s="422" t="n"/>
      <c r="AD22" s="422" t="n"/>
      <c r="AE22" s="422" t="n"/>
      <c r="AF22" s="422" t="n"/>
      <c r="AG22" s="422" t="n"/>
      <c r="AH22" s="422" t="n"/>
      <c r="AI22" s="422" t="n"/>
      <c r="AJ22" s="112" t="n">
        <v>19.5</v>
      </c>
      <c r="AK22" s="422" t="n"/>
      <c r="AL22" s="119" t="n">
        <v>19.5</v>
      </c>
      <c r="AM22" s="422" t="n"/>
      <c r="AN22" s="120" t="n">
        <v>19.5</v>
      </c>
      <c r="AO22" s="422" t="n"/>
      <c r="AP22" s="142" t="n">
        <v>19.5</v>
      </c>
      <c r="AQ22" s="422" t="n"/>
      <c r="AR22" s="112" t="n">
        <v>19.5</v>
      </c>
      <c r="AS22" s="422" t="n"/>
      <c r="AT22" s="119" t="n">
        <v>19.5</v>
      </c>
      <c r="AU22" s="422" t="n"/>
      <c r="AV22" s="120" t="n">
        <v>19.5</v>
      </c>
      <c r="AW22" s="422" t="n"/>
      <c r="AX22" s="163" t="n">
        <v>19.5</v>
      </c>
      <c r="AY22" s="422" t="n"/>
      <c r="AZ22" s="164" t="n">
        <v>19.5</v>
      </c>
      <c r="BA22" s="422" t="n"/>
      <c r="BB22" s="142" t="n">
        <v>19.5</v>
      </c>
      <c r="BC22" s="422" t="n"/>
      <c r="BD22" s="163" t="n">
        <v>19.5</v>
      </c>
      <c r="BE22" s="422" t="n"/>
      <c r="BF22" s="120" t="n">
        <v>19.5</v>
      </c>
      <c r="BG22" s="422" t="n"/>
      <c r="BH22" s="119" t="n">
        <v>19.5</v>
      </c>
      <c r="BI22" s="422" t="n"/>
      <c r="BJ22" s="112" t="n">
        <v>19.5</v>
      </c>
      <c r="BK22" s="422" t="n"/>
      <c r="BL22" s="119" t="n">
        <v>19.5</v>
      </c>
      <c r="BM22" s="422" t="n"/>
      <c r="BN22" s="422" t="n"/>
      <c r="BO22" s="188" t="n"/>
    </row>
    <row r="23" ht="34" customHeight="1" s="418">
      <c r="A23" s="424" t="n"/>
      <c r="B23" s="424" t="n"/>
      <c r="C23" s="424" t="n"/>
      <c r="D23" s="424" t="n"/>
      <c r="E23" s="15" t="inlineStr">
        <is>
          <t xml:space="preserve">≥20000：   </t>
        </is>
      </c>
      <c r="F23" s="18" t="n">
        <v>17</v>
      </c>
      <c r="G23" s="18" t="n">
        <v>17</v>
      </c>
      <c r="H23" s="424" t="n"/>
      <c r="I23" s="18" t="n">
        <v>17</v>
      </c>
      <c r="J23" s="424" t="n"/>
      <c r="K23" s="24" t="n">
        <v>17</v>
      </c>
      <c r="L23" s="424" t="n"/>
      <c r="M23" s="32" t="n">
        <v>17</v>
      </c>
      <c r="N23" s="425" t="n"/>
      <c r="O23" s="34" t="n">
        <v>17</v>
      </c>
      <c r="P23" s="424" t="n"/>
      <c r="Q23" s="43" t="n">
        <v>17</v>
      </c>
      <c r="R23" s="424" t="n"/>
      <c r="S23" s="44" t="n">
        <v>17</v>
      </c>
      <c r="T23" s="424" t="n"/>
      <c r="U23" s="64" t="n">
        <v>17</v>
      </c>
      <c r="V23" s="424" t="n"/>
      <c r="W23" s="68" t="n">
        <v>17</v>
      </c>
      <c r="X23" s="424" t="n"/>
      <c r="Y23" s="91" t="n">
        <v>17</v>
      </c>
      <c r="Z23" s="424" t="n"/>
      <c r="AA23" s="92" t="n">
        <v>17</v>
      </c>
      <c r="AB23" s="424" t="n"/>
      <c r="AC23" s="424" t="n"/>
      <c r="AD23" s="424" t="n"/>
      <c r="AE23" s="422" t="n"/>
      <c r="AF23" s="422" t="n"/>
      <c r="AG23" s="422" t="n"/>
      <c r="AH23" s="422" t="n"/>
      <c r="AI23" s="424" t="n"/>
      <c r="AJ23" s="114" t="n">
        <v>17</v>
      </c>
      <c r="AK23" s="424" t="n"/>
      <c r="AL23" s="121" t="n">
        <v>17</v>
      </c>
      <c r="AM23" s="424" t="n"/>
      <c r="AN23" s="122" t="n">
        <v>17</v>
      </c>
      <c r="AO23" s="424" t="n"/>
      <c r="AP23" s="143" t="n">
        <v>17</v>
      </c>
      <c r="AQ23" s="424" t="n"/>
      <c r="AR23" s="114" t="n">
        <v>17</v>
      </c>
      <c r="AS23" s="424" t="n"/>
      <c r="AT23" s="121" t="n">
        <v>17</v>
      </c>
      <c r="AU23" s="424" t="n"/>
      <c r="AV23" s="122" t="n">
        <v>17</v>
      </c>
      <c r="AW23" s="424" t="n"/>
      <c r="AX23" s="165" t="n">
        <v>17</v>
      </c>
      <c r="AY23" s="424" t="n"/>
      <c r="AZ23" s="166" t="n">
        <v>17</v>
      </c>
      <c r="BA23" s="424" t="n"/>
      <c r="BB23" s="143" t="n">
        <v>17</v>
      </c>
      <c r="BC23" s="424" t="n"/>
      <c r="BD23" s="165" t="n">
        <v>17</v>
      </c>
      <c r="BE23" s="424" t="n"/>
      <c r="BF23" s="122" t="n">
        <v>17</v>
      </c>
      <c r="BG23" s="424" t="n"/>
      <c r="BH23" s="121" t="n">
        <v>17</v>
      </c>
      <c r="BI23" s="424" t="n"/>
      <c r="BJ23" s="114" t="n">
        <v>17</v>
      </c>
      <c r="BK23" s="424" t="n"/>
      <c r="BL23" s="121" t="n">
        <v>17</v>
      </c>
      <c r="BM23" s="424" t="n"/>
      <c r="BN23" s="424" t="n"/>
      <c r="BO23" s="188" t="n"/>
    </row>
    <row r="24" ht="17" customHeight="1" s="418">
      <c r="A24" s="4" t="inlineStr">
        <is>
          <t>mini12</t>
        </is>
      </c>
      <c r="B24" s="4" t="inlineStr">
        <is>
          <t>纯色套壳</t>
        </is>
      </c>
      <c r="C24" s="5" t="inlineStr">
        <is>
          <t>700+</t>
        </is>
      </c>
      <c r="D24" s="2">
        <f>_xlfn.DISPIMG("ID_1396292B26574D18B12AD206D9B4888B",1)</f>
        <v/>
      </c>
      <c r="E24" s="15" t="inlineStr">
        <is>
          <t xml:space="preserve">1-999      </t>
        </is>
      </c>
      <c r="F24" s="16" t="n">
        <v>20</v>
      </c>
      <c r="G24" s="16" t="n">
        <v>20</v>
      </c>
      <c r="H24" s="5" t="inlineStr">
        <is>
          <t>无</t>
        </is>
      </c>
      <c r="I24" s="16" t="n">
        <v>20</v>
      </c>
      <c r="J24" s="5" t="inlineStr">
        <is>
          <t>无</t>
        </is>
      </c>
      <c r="K24" s="22" t="n">
        <v>20</v>
      </c>
      <c r="L24" s="5" t="n"/>
      <c r="M24" s="28" t="n">
        <v>20</v>
      </c>
      <c r="N24" s="301" t="inlineStr">
        <is>
          <t>无</t>
        </is>
      </c>
      <c r="O24" s="30" t="n">
        <v>20</v>
      </c>
      <c r="P24" s="5" t="inlineStr">
        <is>
          <t>无</t>
        </is>
      </c>
      <c r="Q24" s="41" t="n">
        <v>20</v>
      </c>
      <c r="R24" s="5" t="inlineStr">
        <is>
          <t>无</t>
        </is>
      </c>
      <c r="S24" s="42" t="n">
        <v>20</v>
      </c>
      <c r="T24" s="5" t="inlineStr">
        <is>
          <t>无</t>
        </is>
      </c>
      <c r="U24" s="63" t="n">
        <v>20</v>
      </c>
      <c r="V24" s="5" t="inlineStr">
        <is>
          <t>无</t>
        </is>
      </c>
      <c r="W24" s="45" t="n">
        <v>20</v>
      </c>
      <c r="X24" s="5" t="inlineStr">
        <is>
          <t>无</t>
        </is>
      </c>
      <c r="Y24" s="87" t="n">
        <v>20</v>
      </c>
      <c r="Z24" s="5" t="inlineStr">
        <is>
          <t>无</t>
        </is>
      </c>
      <c r="AA24" s="88" t="n">
        <v>20</v>
      </c>
      <c r="AB24" s="5" t="inlineStr">
        <is>
          <t>无</t>
        </is>
      </c>
      <c r="AC24" s="5" t="n">
        <v>23.9</v>
      </c>
      <c r="AD24" s="3" t="n"/>
      <c r="AE24" s="107" t="n"/>
      <c r="AF24" s="107" t="n"/>
      <c r="AG24" s="422" t="n"/>
      <c r="AH24" s="422" t="n"/>
      <c r="AI24" s="5" t="inlineStr">
        <is>
          <t>扣子无后袋</t>
        </is>
      </c>
      <c r="AJ24" s="114" t="n">
        <v>20</v>
      </c>
      <c r="AK24" s="5" t="inlineStr">
        <is>
          <t>无</t>
        </is>
      </c>
      <c r="AL24" s="121" t="n">
        <v>20</v>
      </c>
      <c r="AM24" s="139" t="inlineStr">
        <is>
          <t>加时光相册25元</t>
        </is>
      </c>
      <c r="AN24" s="122" t="n">
        <v>20</v>
      </c>
      <c r="AO24" s="139" t="inlineStr">
        <is>
          <t>加时光相册25元</t>
        </is>
      </c>
      <c r="AP24" s="143" t="n">
        <v>20</v>
      </c>
      <c r="AQ24" s="139" t="inlineStr">
        <is>
          <t>加时光相册25元</t>
        </is>
      </c>
      <c r="AR24" s="114" t="n">
        <v>20</v>
      </c>
      <c r="AS24" s="139" t="inlineStr">
        <is>
          <t>加时光相册25元</t>
        </is>
      </c>
      <c r="AT24" s="121" t="n">
        <v>20</v>
      </c>
      <c r="AU24" s="139" t="inlineStr">
        <is>
          <t>加时光相册25元</t>
        </is>
      </c>
      <c r="AV24" s="122" t="n">
        <v>20</v>
      </c>
      <c r="AW24" s="139" t="inlineStr">
        <is>
          <t>加时光相册25元</t>
        </is>
      </c>
      <c r="AX24" s="165" t="n">
        <v>20</v>
      </c>
      <c r="AY24" s="139" t="inlineStr">
        <is>
          <t>加时光相册25元</t>
        </is>
      </c>
      <c r="AZ24" s="166" t="n">
        <v>20</v>
      </c>
      <c r="BA24" s="139" t="inlineStr">
        <is>
          <t>加时光相册25元</t>
        </is>
      </c>
      <c r="BB24" s="143" t="n">
        <v>20</v>
      </c>
      <c r="BC24" s="139" t="inlineStr">
        <is>
          <t>加时光相册25元</t>
        </is>
      </c>
      <c r="BD24" s="165" t="n">
        <v>20</v>
      </c>
      <c r="BE24" s="139" t="inlineStr">
        <is>
          <t>加时光相册25元</t>
        </is>
      </c>
      <c r="BF24" s="122" t="n">
        <v>20</v>
      </c>
      <c r="BG24" s="139" t="inlineStr">
        <is>
          <t>加时光相册25元</t>
        </is>
      </c>
      <c r="BH24" s="121" t="n">
        <v>20</v>
      </c>
      <c r="BI24" s="139" t="inlineStr">
        <is>
          <t>加时光相册25元</t>
        </is>
      </c>
      <c r="BJ24" s="114" t="n">
        <v>20</v>
      </c>
      <c r="BK24" s="139" t="inlineStr">
        <is>
          <t>加时光相册25元</t>
        </is>
      </c>
      <c r="BL24" s="121" t="n">
        <v>20</v>
      </c>
      <c r="BM24" s="139" t="inlineStr">
        <is>
          <t>加时光相册25元</t>
        </is>
      </c>
      <c r="BN24" s="189" t="inlineStr">
        <is>
          <t>https://detail.1688.com/offer/833525839872.html?_t=1731398510739&amp;spm=a2615.7691456.co_1_0_wangpu_score_0_0_0_0_0_0_0000_0.0</t>
        </is>
      </c>
      <c r="BO24" s="188" t="n"/>
    </row>
    <row r="25" ht="34" customHeight="1" s="418">
      <c r="A25" s="422" t="n"/>
      <c r="B25" s="422" t="n"/>
      <c r="C25" s="422" t="n"/>
      <c r="D25" s="422" t="n"/>
      <c r="E25" s="17" t="inlineStr">
        <is>
          <t>1000-19999</t>
        </is>
      </c>
      <c r="F25" s="16" t="n">
        <v>19</v>
      </c>
      <c r="G25" s="16" t="n">
        <v>19.5</v>
      </c>
      <c r="H25" s="422" t="n"/>
      <c r="I25" s="16" t="n">
        <v>19.5</v>
      </c>
      <c r="J25" s="422" t="n"/>
      <c r="K25" s="22" t="n">
        <v>19.5</v>
      </c>
      <c r="L25" s="422" t="n"/>
      <c r="M25" s="28" t="n">
        <v>20</v>
      </c>
      <c r="N25" s="423" t="n"/>
      <c r="O25" s="30" t="n">
        <v>20</v>
      </c>
      <c r="P25" s="422" t="n"/>
      <c r="Q25" s="41" t="n">
        <v>19</v>
      </c>
      <c r="R25" s="422" t="n"/>
      <c r="S25" s="42" t="n">
        <v>19</v>
      </c>
      <c r="T25" s="422" t="n"/>
      <c r="U25" s="63" t="n">
        <v>19</v>
      </c>
      <c r="V25" s="422" t="n"/>
      <c r="W25" s="423" t="n"/>
      <c r="X25" s="422" t="n"/>
      <c r="Y25" s="423" t="n"/>
      <c r="Z25" s="422" t="n"/>
      <c r="AA25" s="423" t="n"/>
      <c r="AB25" s="422" t="n"/>
      <c r="AC25" s="422" t="n"/>
      <c r="AD25" s="422" t="n"/>
      <c r="AE25" s="422" t="n"/>
      <c r="AF25" s="422" t="n"/>
      <c r="AG25" s="422" t="n"/>
      <c r="AH25" s="422" t="n"/>
      <c r="AI25" s="422" t="n"/>
      <c r="AJ25" s="423" t="n"/>
      <c r="AK25" s="422" t="n"/>
      <c r="AL25" s="423" t="n"/>
      <c r="AM25" s="422" t="n"/>
      <c r="AN25" s="423" t="n"/>
      <c r="AO25" s="422" t="n"/>
      <c r="AP25" s="423" t="n"/>
      <c r="AQ25" s="422" t="n"/>
      <c r="AR25" s="423" t="n"/>
      <c r="AS25" s="422" t="n"/>
      <c r="AT25" s="423" t="n"/>
      <c r="AU25" s="422" t="n"/>
      <c r="AV25" s="423" t="n"/>
      <c r="AW25" s="422" t="n"/>
      <c r="AX25" s="423" t="n"/>
      <c r="AY25" s="422" t="n"/>
      <c r="AZ25" s="423" t="n"/>
      <c r="BA25" s="422" t="n"/>
      <c r="BB25" s="423" t="n"/>
      <c r="BC25" s="422" t="n"/>
      <c r="BD25" s="423" t="n"/>
      <c r="BE25" s="422" t="n"/>
      <c r="BF25" s="423" t="n"/>
      <c r="BG25" s="422" t="n"/>
      <c r="BH25" s="423" t="n"/>
      <c r="BI25" s="422" t="n"/>
      <c r="BJ25" s="423" t="n"/>
      <c r="BK25" s="422" t="n"/>
      <c r="BL25" s="423" t="n"/>
      <c r="BM25" s="422" t="n"/>
      <c r="BN25" s="422" t="n"/>
      <c r="BO25" s="188" t="n"/>
    </row>
    <row r="26" ht="34" customHeight="1" s="418">
      <c r="A26" s="424" t="n"/>
      <c r="B26" s="424" t="n"/>
      <c r="C26" s="424" t="n"/>
      <c r="D26" s="424" t="n"/>
      <c r="E26" s="15" t="inlineStr">
        <is>
          <t xml:space="preserve">≥20000：   </t>
        </is>
      </c>
      <c r="F26" s="18" t="n">
        <v>17</v>
      </c>
      <c r="G26" s="18" t="n">
        <v>17</v>
      </c>
      <c r="H26" s="424" t="n"/>
      <c r="I26" s="18" t="n">
        <v>17</v>
      </c>
      <c r="J26" s="424" t="n"/>
      <c r="K26" s="24" t="n">
        <v>17</v>
      </c>
      <c r="L26" s="424" t="n"/>
      <c r="M26" s="28" t="n">
        <v>20</v>
      </c>
      <c r="N26" s="425" t="n"/>
      <c r="O26" s="30" t="n">
        <v>20</v>
      </c>
      <c r="P26" s="424" t="n"/>
      <c r="Q26" s="43" t="n">
        <v>17</v>
      </c>
      <c r="R26" s="424" t="n"/>
      <c r="S26" s="44" t="n">
        <v>17</v>
      </c>
      <c r="T26" s="424" t="n"/>
      <c r="U26" s="64" t="n">
        <v>17</v>
      </c>
      <c r="V26" s="424" t="n"/>
      <c r="W26" s="425" t="n"/>
      <c r="X26" s="424" t="n"/>
      <c r="Y26" s="425" t="n"/>
      <c r="Z26" s="424" t="n"/>
      <c r="AA26" s="425" t="n"/>
      <c r="AB26" s="424" t="n"/>
      <c r="AC26" s="424" t="n"/>
      <c r="AD26" s="424" t="n"/>
      <c r="AE26" s="422" t="n"/>
      <c r="AF26" s="422" t="n"/>
      <c r="AG26" s="422" t="n"/>
      <c r="AH26" s="422" t="n"/>
      <c r="AI26" s="424" t="n"/>
      <c r="AJ26" s="425" t="n"/>
      <c r="AK26" s="424" t="n"/>
      <c r="AL26" s="425" t="n"/>
      <c r="AM26" s="424" t="n"/>
      <c r="AN26" s="425" t="n"/>
      <c r="AO26" s="424" t="n"/>
      <c r="AP26" s="425" t="n"/>
      <c r="AQ26" s="424" t="n"/>
      <c r="AR26" s="425" t="n"/>
      <c r="AS26" s="424" t="n"/>
      <c r="AT26" s="425" t="n"/>
      <c r="AU26" s="424" t="n"/>
      <c r="AV26" s="425" t="n"/>
      <c r="AW26" s="424" t="n"/>
      <c r="AX26" s="425" t="n"/>
      <c r="AY26" s="424" t="n"/>
      <c r="AZ26" s="425" t="n"/>
      <c r="BA26" s="424" t="n"/>
      <c r="BB26" s="425" t="n"/>
      <c r="BC26" s="424" t="n"/>
      <c r="BD26" s="425" t="n"/>
      <c r="BE26" s="424" t="n"/>
      <c r="BF26" s="425" t="n"/>
      <c r="BG26" s="424" t="n"/>
      <c r="BH26" s="425" t="n"/>
      <c r="BI26" s="424" t="n"/>
      <c r="BJ26" s="425" t="n"/>
      <c r="BK26" s="424" t="n"/>
      <c r="BL26" s="425" t="n"/>
      <c r="BM26" s="424" t="n"/>
      <c r="BN26" s="424" t="n"/>
      <c r="BO26" s="188" t="n"/>
    </row>
    <row r="27" ht="17" customHeight="1" s="418">
      <c r="A27" s="4" t="inlineStr">
        <is>
          <t>mini12</t>
        </is>
      </c>
      <c r="B27" s="4" t="inlineStr">
        <is>
          <t>花色</t>
        </is>
      </c>
      <c r="C27" s="5" t="inlineStr">
        <is>
          <t>90+</t>
        </is>
      </c>
      <c r="D27" s="2">
        <f>_xlfn.DISPIMG("ID_8472C21F27684711B0F4AEA276EE5390",1)</f>
        <v/>
      </c>
      <c r="E27" s="15" t="inlineStr">
        <is>
          <t xml:space="preserve">1-299      </t>
        </is>
      </c>
      <c r="F27" s="16" t="n">
        <v>22</v>
      </c>
      <c r="G27" s="16" t="n">
        <v>22</v>
      </c>
      <c r="H27" s="5" t="inlineStr">
        <is>
          <t>无</t>
        </is>
      </c>
      <c r="I27" s="16" t="n">
        <v>22</v>
      </c>
      <c r="J27" s="5" t="inlineStr">
        <is>
          <t>无</t>
        </is>
      </c>
      <c r="K27" s="22" t="n">
        <v>22</v>
      </c>
      <c r="L27" s="5" t="inlineStr">
        <is>
          <t>无</t>
        </is>
      </c>
      <c r="M27" s="28" t="n">
        <v>22</v>
      </c>
      <c r="N27" s="301" t="inlineStr">
        <is>
          <t>无</t>
        </is>
      </c>
      <c r="O27" s="30" t="n">
        <v>22</v>
      </c>
      <c r="P27" s="5" t="inlineStr">
        <is>
          <t>无</t>
        </is>
      </c>
      <c r="Q27" s="41" t="n">
        <v>22</v>
      </c>
      <c r="R27" s="5" t="inlineStr">
        <is>
          <t>无</t>
        </is>
      </c>
      <c r="S27" s="42" t="n">
        <v>22</v>
      </c>
      <c r="T27" s="5" t="inlineStr">
        <is>
          <t>无</t>
        </is>
      </c>
      <c r="U27" s="63" t="n">
        <v>22</v>
      </c>
      <c r="V27" s="5" t="inlineStr">
        <is>
          <t>无</t>
        </is>
      </c>
      <c r="W27" s="45" t="n">
        <v>22</v>
      </c>
      <c r="X27" s="5" t="inlineStr">
        <is>
          <t>无</t>
        </is>
      </c>
      <c r="Y27" s="87" t="n">
        <v>22</v>
      </c>
      <c r="Z27" s="5" t="inlineStr">
        <is>
          <t>无</t>
        </is>
      </c>
      <c r="AA27" s="88" t="n">
        <v>22</v>
      </c>
      <c r="AB27" s="5" t="inlineStr">
        <is>
          <t>无</t>
        </is>
      </c>
      <c r="AC27" s="5" t="n"/>
      <c r="AD27" s="3" t="n"/>
      <c r="AE27" s="107" t="n"/>
      <c r="AF27" s="107" t="n"/>
      <c r="AG27" s="422" t="n"/>
      <c r="AH27" s="422" t="n"/>
      <c r="AI27" s="5" t="n"/>
      <c r="AJ27" s="112" t="n">
        <v>22</v>
      </c>
      <c r="AK27" s="5" t="inlineStr">
        <is>
          <t>无</t>
        </is>
      </c>
      <c r="AL27" s="119" t="n">
        <v>22</v>
      </c>
      <c r="AM27" s="5" t="inlineStr">
        <is>
          <t>无</t>
        </is>
      </c>
      <c r="AN27" s="120" t="n">
        <v>22</v>
      </c>
      <c r="AO27" s="5" t="inlineStr">
        <is>
          <t>无</t>
        </is>
      </c>
      <c r="AP27" s="142" t="n">
        <v>22</v>
      </c>
      <c r="AQ27" s="5" t="inlineStr">
        <is>
          <t>无</t>
        </is>
      </c>
      <c r="AR27" s="112" t="n">
        <v>22</v>
      </c>
      <c r="AS27" s="5" t="inlineStr">
        <is>
          <t>无</t>
        </is>
      </c>
      <c r="AT27" s="119" t="n">
        <v>22</v>
      </c>
      <c r="AU27" s="5" t="inlineStr">
        <is>
          <t>无</t>
        </is>
      </c>
      <c r="AV27" s="120" t="n">
        <v>22</v>
      </c>
      <c r="AW27" s="5" t="inlineStr">
        <is>
          <t>无</t>
        </is>
      </c>
      <c r="AX27" s="163" t="n">
        <v>22</v>
      </c>
      <c r="AY27" s="5" t="inlineStr">
        <is>
          <t>无</t>
        </is>
      </c>
      <c r="AZ27" s="164" t="n">
        <v>22</v>
      </c>
      <c r="BA27" s="5" t="inlineStr">
        <is>
          <t>无</t>
        </is>
      </c>
      <c r="BB27" s="142" t="n">
        <v>22</v>
      </c>
      <c r="BC27" s="5" t="inlineStr">
        <is>
          <t>无</t>
        </is>
      </c>
      <c r="BD27" s="163" t="n">
        <v>22</v>
      </c>
      <c r="BE27" s="5" t="inlineStr">
        <is>
          <t>无</t>
        </is>
      </c>
      <c r="BF27" s="120" t="n">
        <v>22</v>
      </c>
      <c r="BG27" s="5" t="inlineStr">
        <is>
          <t>无</t>
        </is>
      </c>
      <c r="BH27" s="119" t="n">
        <v>22</v>
      </c>
      <c r="BI27" s="5" t="inlineStr">
        <is>
          <t>无</t>
        </is>
      </c>
      <c r="BJ27" s="112" t="n">
        <v>22</v>
      </c>
      <c r="BK27" s="5" t="inlineStr">
        <is>
          <t>无</t>
        </is>
      </c>
      <c r="BL27" s="119" t="n">
        <v>22</v>
      </c>
      <c r="BM27" s="5" t="inlineStr">
        <is>
          <t>无</t>
        </is>
      </c>
      <c r="BN27" s="189" t="inlineStr">
        <is>
          <t>https://detail.1688.com/offer/722785857582.html?_t=1731392325741&amp;spm=a2615.7691456.co_0_0_wangpu_score_0_0_0_0_0_0_0000_0.0</t>
        </is>
      </c>
      <c r="BO27" s="188" t="n"/>
    </row>
    <row r="28" ht="17" customHeight="1" s="418">
      <c r="A28" s="422" t="n"/>
      <c r="B28" s="422" t="n"/>
      <c r="C28" s="422" t="n"/>
      <c r="D28" s="422" t="n"/>
      <c r="E28" s="17" t="inlineStr">
        <is>
          <t>300-2999</t>
        </is>
      </c>
      <c r="F28" s="16" t="n">
        <v>21.8</v>
      </c>
      <c r="G28" s="16" t="n">
        <v>21.8</v>
      </c>
      <c r="H28" s="422" t="n"/>
      <c r="I28" s="16" t="n">
        <v>21.8</v>
      </c>
      <c r="J28" s="422" t="n"/>
      <c r="K28" s="22" t="n">
        <v>21.8</v>
      </c>
      <c r="L28" s="422" t="n"/>
      <c r="M28" s="28" t="n">
        <v>21.8</v>
      </c>
      <c r="N28" s="423" t="n"/>
      <c r="O28" s="30" t="n">
        <v>21.8</v>
      </c>
      <c r="P28" s="422" t="n"/>
      <c r="Q28" s="41" t="n">
        <v>21.8</v>
      </c>
      <c r="R28" s="422" t="n"/>
      <c r="S28" s="42" t="n">
        <v>21.8</v>
      </c>
      <c r="T28" s="422" t="n"/>
      <c r="U28" s="63" t="n">
        <v>21.8</v>
      </c>
      <c r="V28" s="422" t="n"/>
      <c r="W28" s="45" t="n">
        <v>21.8</v>
      </c>
      <c r="X28" s="422" t="n"/>
      <c r="Y28" s="87" t="n">
        <v>21.8</v>
      </c>
      <c r="Z28" s="422" t="n"/>
      <c r="AA28" s="88" t="n">
        <v>21.8</v>
      </c>
      <c r="AB28" s="422" t="n"/>
      <c r="AC28" s="422" t="n"/>
      <c r="AD28" s="422" t="n"/>
      <c r="AE28" s="422" t="n"/>
      <c r="AF28" s="422" t="n"/>
      <c r="AG28" s="422" t="n"/>
      <c r="AH28" s="422" t="n"/>
      <c r="AI28" s="422" t="n"/>
      <c r="AJ28" s="112" t="n">
        <v>21.8</v>
      </c>
      <c r="AK28" s="422" t="n"/>
      <c r="AL28" s="119" t="n">
        <v>21.8</v>
      </c>
      <c r="AM28" s="422" t="n"/>
      <c r="AN28" s="120" t="n">
        <v>21.8</v>
      </c>
      <c r="AO28" s="422" t="n"/>
      <c r="AP28" s="142" t="n">
        <v>21.8</v>
      </c>
      <c r="AQ28" s="422" t="n"/>
      <c r="AR28" s="112" t="n">
        <v>21.8</v>
      </c>
      <c r="AS28" s="422" t="n"/>
      <c r="AT28" s="119" t="n">
        <v>21.8</v>
      </c>
      <c r="AU28" s="422" t="n"/>
      <c r="AV28" s="120" t="n">
        <v>21.8</v>
      </c>
      <c r="AW28" s="422" t="n"/>
      <c r="AX28" s="163" t="n">
        <v>21.8</v>
      </c>
      <c r="AY28" s="422" t="n"/>
      <c r="AZ28" s="164" t="n">
        <v>21.8</v>
      </c>
      <c r="BA28" s="422" t="n"/>
      <c r="BB28" s="142" t="n">
        <v>21.8</v>
      </c>
      <c r="BC28" s="422" t="n"/>
      <c r="BD28" s="163" t="n">
        <v>21.8</v>
      </c>
      <c r="BE28" s="422" t="n"/>
      <c r="BF28" s="120" t="n">
        <v>21.8</v>
      </c>
      <c r="BG28" s="422" t="n"/>
      <c r="BH28" s="119" t="n">
        <v>21.8</v>
      </c>
      <c r="BI28" s="422" t="n"/>
      <c r="BJ28" s="112" t="n">
        <v>21.8</v>
      </c>
      <c r="BK28" s="422" t="n"/>
      <c r="BL28" s="119" t="n">
        <v>21.8</v>
      </c>
      <c r="BM28" s="422" t="n"/>
      <c r="BN28" s="422" t="n"/>
      <c r="BO28" s="188" t="n"/>
    </row>
    <row r="29" ht="17" customHeight="1" s="418">
      <c r="A29" s="424" t="n"/>
      <c r="B29" s="424" t="n"/>
      <c r="C29" s="424" t="n"/>
      <c r="D29" s="424" t="n"/>
      <c r="E29" s="15" t="inlineStr">
        <is>
          <t xml:space="preserve">≥3000：   </t>
        </is>
      </c>
      <c r="F29" s="18" t="n">
        <v>21.5</v>
      </c>
      <c r="G29" s="18" t="n">
        <v>21.5</v>
      </c>
      <c r="H29" s="424" t="n"/>
      <c r="I29" s="18" t="n">
        <v>21.5</v>
      </c>
      <c r="J29" s="424" t="n"/>
      <c r="K29" s="24" t="n">
        <v>21.5</v>
      </c>
      <c r="L29" s="424" t="n"/>
      <c r="M29" s="32" t="n">
        <v>21.5</v>
      </c>
      <c r="N29" s="425" t="n"/>
      <c r="O29" s="34" t="n">
        <v>21.5</v>
      </c>
      <c r="P29" s="424" t="n"/>
      <c r="Q29" s="43" t="n">
        <v>21.5</v>
      </c>
      <c r="R29" s="424" t="n"/>
      <c r="S29" s="44" t="n">
        <v>21.5</v>
      </c>
      <c r="T29" s="424" t="n"/>
      <c r="U29" s="64" t="n">
        <v>21.5</v>
      </c>
      <c r="V29" s="424" t="n"/>
      <c r="W29" s="68" t="n">
        <v>21.5</v>
      </c>
      <c r="X29" s="424" t="n"/>
      <c r="Y29" s="91" t="n">
        <v>21.5</v>
      </c>
      <c r="Z29" s="424" t="n"/>
      <c r="AA29" s="92" t="n">
        <v>21.5</v>
      </c>
      <c r="AB29" s="424" t="n"/>
      <c r="AC29" s="424" t="n"/>
      <c r="AD29" s="424" t="n"/>
      <c r="AE29" s="422" t="n"/>
      <c r="AF29" s="422" t="n"/>
      <c r="AG29" s="422" t="n"/>
      <c r="AH29" s="422" t="n"/>
      <c r="AI29" s="424" t="n"/>
      <c r="AJ29" s="114" t="n">
        <v>21.5</v>
      </c>
      <c r="AK29" s="424" t="n"/>
      <c r="AL29" s="121" t="n">
        <v>21.5</v>
      </c>
      <c r="AM29" s="424" t="n"/>
      <c r="AN29" s="122" t="n">
        <v>21.5</v>
      </c>
      <c r="AO29" s="424" t="n"/>
      <c r="AP29" s="143" t="n">
        <v>21.5</v>
      </c>
      <c r="AQ29" s="424" t="n"/>
      <c r="AR29" s="114" t="n">
        <v>21.5</v>
      </c>
      <c r="AS29" s="424" t="n"/>
      <c r="AT29" s="121" t="n">
        <v>21.5</v>
      </c>
      <c r="AU29" s="424" t="n"/>
      <c r="AV29" s="122" t="n">
        <v>21.5</v>
      </c>
      <c r="AW29" s="424" t="n"/>
      <c r="AX29" s="165" t="n">
        <v>21.5</v>
      </c>
      <c r="AY29" s="424" t="n"/>
      <c r="AZ29" s="166" t="n">
        <v>21.5</v>
      </c>
      <c r="BA29" s="424" t="n"/>
      <c r="BB29" s="143" t="n">
        <v>21.5</v>
      </c>
      <c r="BC29" s="424" t="n"/>
      <c r="BD29" s="165" t="n">
        <v>21.5</v>
      </c>
      <c r="BE29" s="424" t="n"/>
      <c r="BF29" s="122" t="n">
        <v>21.5</v>
      </c>
      <c r="BG29" s="424" t="n"/>
      <c r="BH29" s="121" t="n">
        <v>21.5</v>
      </c>
      <c r="BI29" s="424" t="n"/>
      <c r="BJ29" s="114" t="n">
        <v>21.5</v>
      </c>
      <c r="BK29" s="424" t="n"/>
      <c r="BL29" s="121" t="n">
        <v>21.5</v>
      </c>
      <c r="BM29" s="424" t="n"/>
      <c r="BN29" s="424" t="n"/>
      <c r="BO29" s="188" t="n"/>
    </row>
    <row r="30" ht="17" customHeight="1" s="418">
      <c r="A30" s="4" t="inlineStr">
        <is>
          <t>mini12</t>
        </is>
      </c>
      <c r="B30" s="4" t="inlineStr">
        <is>
          <t>缤纷森林</t>
        </is>
      </c>
      <c r="C30" s="5" t="inlineStr">
        <is>
          <t>10+</t>
        </is>
      </c>
      <c r="D30" s="2">
        <f>_xlfn.DISPIMG("ID_D833803CEDB6457E985AE0A5C9CE3E9F",1)</f>
        <v/>
      </c>
      <c r="E30" s="15" t="inlineStr">
        <is>
          <t xml:space="preserve">1-299      </t>
        </is>
      </c>
      <c r="F30" s="16" t="n">
        <v>23</v>
      </c>
      <c r="G30" s="16" t="n">
        <v>22</v>
      </c>
      <c r="H30" s="5" t="inlineStr">
        <is>
          <t>无</t>
        </is>
      </c>
      <c r="I30" s="16" t="n">
        <v>22</v>
      </c>
      <c r="J30" s="5" t="inlineStr">
        <is>
          <t>无</t>
        </is>
      </c>
      <c r="K30" s="22" t="n">
        <v>22</v>
      </c>
      <c r="L30" s="5" t="inlineStr">
        <is>
          <t>无</t>
        </is>
      </c>
      <c r="M30" s="28" t="n">
        <v>22</v>
      </c>
      <c r="N30" s="301" t="inlineStr">
        <is>
          <t>无</t>
        </is>
      </c>
      <c r="O30" s="30" t="n">
        <v>22</v>
      </c>
      <c r="P30" s="5" t="inlineStr">
        <is>
          <t>无</t>
        </is>
      </c>
      <c r="Q30" s="41" t="n">
        <v>22</v>
      </c>
      <c r="R30" s="5" t="inlineStr">
        <is>
          <t>无</t>
        </is>
      </c>
      <c r="S30" s="42" t="n">
        <v>22</v>
      </c>
      <c r="T30" s="5" t="inlineStr">
        <is>
          <t>无</t>
        </is>
      </c>
      <c r="U30" s="63" t="n">
        <v>22</v>
      </c>
      <c r="V30" s="5" t="inlineStr">
        <is>
          <t>无</t>
        </is>
      </c>
      <c r="W30" s="45" t="n">
        <v>22</v>
      </c>
      <c r="X30" s="5" t="inlineStr">
        <is>
          <t>无</t>
        </is>
      </c>
      <c r="Y30" s="87" t="n">
        <v>22</v>
      </c>
      <c r="Z30" s="5" t="inlineStr">
        <is>
          <t>无</t>
        </is>
      </c>
      <c r="AA30" s="88" t="n">
        <v>22</v>
      </c>
      <c r="AB30" s="5" t="inlineStr">
        <is>
          <t>无</t>
        </is>
      </c>
      <c r="AC30" s="5" t="n"/>
      <c r="AD30" s="3" t="n"/>
      <c r="AE30" s="107" t="n"/>
      <c r="AF30" s="107" t="n"/>
      <c r="AG30" s="422" t="n"/>
      <c r="AH30" s="422" t="n"/>
      <c r="AI30" s="5" t="n"/>
      <c r="AJ30" s="112" t="n">
        <v>22</v>
      </c>
      <c r="AK30" s="5" t="inlineStr">
        <is>
          <t>无</t>
        </is>
      </c>
      <c r="AL30" s="119" t="n">
        <v>22</v>
      </c>
      <c r="AM30" s="5" t="inlineStr">
        <is>
          <t>无</t>
        </is>
      </c>
      <c r="AN30" s="120" t="n">
        <v>22</v>
      </c>
      <c r="AO30" s="5" t="inlineStr">
        <is>
          <t>无</t>
        </is>
      </c>
      <c r="AP30" s="142" t="n">
        <v>22</v>
      </c>
      <c r="AQ30" s="5" t="inlineStr">
        <is>
          <t>无</t>
        </is>
      </c>
      <c r="AR30" s="112" t="n">
        <v>22</v>
      </c>
      <c r="AS30" s="5" t="inlineStr">
        <is>
          <t>无</t>
        </is>
      </c>
      <c r="AT30" s="119" t="n">
        <v>22</v>
      </c>
      <c r="AU30" s="5" t="inlineStr">
        <is>
          <t>无</t>
        </is>
      </c>
      <c r="AV30" s="120" t="n">
        <v>22</v>
      </c>
      <c r="AW30" s="5" t="inlineStr">
        <is>
          <t>无</t>
        </is>
      </c>
      <c r="AX30" s="163" t="n">
        <v>22</v>
      </c>
      <c r="AY30" s="5" t="inlineStr">
        <is>
          <t>无</t>
        </is>
      </c>
      <c r="AZ30" s="164" t="n">
        <v>22</v>
      </c>
      <c r="BA30" s="5" t="inlineStr">
        <is>
          <t>无</t>
        </is>
      </c>
      <c r="BB30" s="142" t="n">
        <v>22</v>
      </c>
      <c r="BC30" s="5" t="inlineStr">
        <is>
          <t>无</t>
        </is>
      </c>
      <c r="BD30" s="163" t="n">
        <v>22</v>
      </c>
      <c r="BE30" s="5" t="inlineStr">
        <is>
          <t>无</t>
        </is>
      </c>
      <c r="BF30" s="120" t="n">
        <v>22</v>
      </c>
      <c r="BG30" s="5" t="inlineStr">
        <is>
          <t>无</t>
        </is>
      </c>
      <c r="BH30" s="119" t="n">
        <v>22</v>
      </c>
      <c r="BI30" s="5" t="inlineStr">
        <is>
          <t>无</t>
        </is>
      </c>
      <c r="BJ30" s="112" t="n">
        <v>22</v>
      </c>
      <c r="BK30" s="5" t="inlineStr">
        <is>
          <t>无</t>
        </is>
      </c>
      <c r="BL30" s="119" t="n">
        <v>22</v>
      </c>
      <c r="BM30" s="5" t="inlineStr">
        <is>
          <t>无</t>
        </is>
      </c>
      <c r="BN30" s="189" t="inlineStr">
        <is>
          <t>https://detail.1688.com/offer/716290605412.html?_t=1731394821099&amp;spm=a2615.7691456.co_1_0_wangpu_score_0_0_0_0_0_0_0000_0.0</t>
        </is>
      </c>
      <c r="BO30" s="188" t="n"/>
    </row>
    <row r="31" ht="34" customHeight="1" s="418">
      <c r="A31" s="422" t="n"/>
      <c r="B31" s="422" t="n"/>
      <c r="C31" s="422" t="n"/>
      <c r="D31" s="422" t="n"/>
      <c r="E31" s="17" t="inlineStr">
        <is>
          <t>300-10000</t>
        </is>
      </c>
      <c r="F31" s="16" t="n">
        <v>22.8</v>
      </c>
      <c r="G31" s="16" t="n">
        <v>21</v>
      </c>
      <c r="H31" s="422" t="n"/>
      <c r="I31" s="16" t="n">
        <v>21</v>
      </c>
      <c r="J31" s="422" t="n"/>
      <c r="K31" s="22" t="n">
        <v>21</v>
      </c>
      <c r="L31" s="422" t="n"/>
      <c r="M31" s="28" t="n">
        <v>21</v>
      </c>
      <c r="N31" s="423" t="n"/>
      <c r="O31" s="30" t="n">
        <v>21</v>
      </c>
      <c r="P31" s="422" t="n"/>
      <c r="Q31" s="41" t="n">
        <v>21</v>
      </c>
      <c r="R31" s="422" t="n"/>
      <c r="S31" s="42" t="n">
        <v>21</v>
      </c>
      <c r="T31" s="422" t="n"/>
      <c r="U31" s="63" t="n">
        <v>21</v>
      </c>
      <c r="V31" s="422" t="n"/>
      <c r="W31" s="45" t="n">
        <v>21</v>
      </c>
      <c r="X31" s="422" t="n"/>
      <c r="Y31" s="87" t="n">
        <v>21</v>
      </c>
      <c r="Z31" s="422" t="n"/>
      <c r="AA31" s="88" t="n">
        <v>21</v>
      </c>
      <c r="AB31" s="422" t="n"/>
      <c r="AC31" s="422" t="n"/>
      <c r="AD31" s="422" t="n"/>
      <c r="AE31" s="108" t="n"/>
      <c r="AF31" s="108" t="n"/>
      <c r="AG31" s="422" t="n"/>
      <c r="AH31" s="422" t="n"/>
      <c r="AI31" s="422" t="n"/>
      <c r="AJ31" s="112" t="n">
        <v>21</v>
      </c>
      <c r="AK31" s="422" t="n"/>
      <c r="AL31" s="119" t="n">
        <v>21</v>
      </c>
      <c r="AM31" s="422" t="n"/>
      <c r="AN31" s="120" t="n">
        <v>21</v>
      </c>
      <c r="AO31" s="422" t="n"/>
      <c r="AP31" s="142" t="n">
        <v>21</v>
      </c>
      <c r="AQ31" s="422" t="n"/>
      <c r="AR31" s="112" t="n">
        <v>21</v>
      </c>
      <c r="AS31" s="422" t="n"/>
      <c r="AT31" s="119" t="n">
        <v>21</v>
      </c>
      <c r="AU31" s="422" t="n"/>
      <c r="AV31" s="120" t="n">
        <v>21</v>
      </c>
      <c r="AW31" s="422" t="n"/>
      <c r="AX31" s="163" t="n">
        <v>21</v>
      </c>
      <c r="AY31" s="422" t="n"/>
      <c r="AZ31" s="164" t="n">
        <v>21</v>
      </c>
      <c r="BA31" s="422" t="n"/>
      <c r="BB31" s="142" t="n">
        <v>21</v>
      </c>
      <c r="BC31" s="422" t="n"/>
      <c r="BD31" s="163" t="n">
        <v>21</v>
      </c>
      <c r="BE31" s="422" t="n"/>
      <c r="BF31" s="120" t="n">
        <v>21</v>
      </c>
      <c r="BG31" s="422" t="n"/>
      <c r="BH31" s="119" t="n">
        <v>21</v>
      </c>
      <c r="BI31" s="422" t="n"/>
      <c r="BJ31" s="112" t="n">
        <v>21</v>
      </c>
      <c r="BK31" s="422" t="n"/>
      <c r="BL31" s="119" t="n">
        <v>21</v>
      </c>
      <c r="BM31" s="422" t="n"/>
      <c r="BN31" s="422" t="n"/>
      <c r="BO31" s="188" t="n"/>
    </row>
    <row r="32" ht="34" customHeight="1" s="418">
      <c r="A32" s="424" t="n"/>
      <c r="B32" s="424" t="n"/>
      <c r="C32" s="424" t="n"/>
      <c r="D32" s="424" t="n"/>
      <c r="E32" s="15" t="inlineStr">
        <is>
          <t xml:space="preserve">≥10000：   </t>
        </is>
      </c>
      <c r="F32" s="18" t="n">
        <v>22.5</v>
      </c>
      <c r="G32" s="18" t="n">
        <v>19</v>
      </c>
      <c r="H32" s="424" t="n"/>
      <c r="I32" s="18" t="n">
        <v>19</v>
      </c>
      <c r="J32" s="424" t="n"/>
      <c r="K32" s="24" t="n">
        <v>19</v>
      </c>
      <c r="L32" s="424" t="n"/>
      <c r="M32" s="32" t="n">
        <v>19</v>
      </c>
      <c r="N32" s="425" t="n"/>
      <c r="O32" s="34" t="n">
        <v>19</v>
      </c>
      <c r="P32" s="424" t="n"/>
      <c r="Q32" s="43" t="n">
        <v>19</v>
      </c>
      <c r="R32" s="424" t="n"/>
      <c r="S32" s="44" t="n">
        <v>19</v>
      </c>
      <c r="T32" s="424" t="n"/>
      <c r="U32" s="64" t="n">
        <v>19</v>
      </c>
      <c r="V32" s="424" t="n"/>
      <c r="W32" s="68" t="n">
        <v>19</v>
      </c>
      <c r="X32" s="424" t="n"/>
      <c r="Y32" s="91" t="n">
        <v>19</v>
      </c>
      <c r="Z32" s="424" t="n"/>
      <c r="AA32" s="92" t="n">
        <v>19</v>
      </c>
      <c r="AB32" s="424" t="n"/>
      <c r="AC32" s="424" t="n"/>
      <c r="AD32" s="424" t="n"/>
      <c r="AE32" s="108" t="n"/>
      <c r="AF32" s="108" t="n"/>
      <c r="AG32" s="422" t="n"/>
      <c r="AH32" s="422" t="n"/>
      <c r="AI32" s="424" t="n"/>
      <c r="AJ32" s="114" t="n">
        <v>19</v>
      </c>
      <c r="AK32" s="424" t="n"/>
      <c r="AL32" s="121" t="n">
        <v>19</v>
      </c>
      <c r="AM32" s="424" t="n"/>
      <c r="AN32" s="122" t="n">
        <v>19</v>
      </c>
      <c r="AO32" s="424" t="n"/>
      <c r="AP32" s="143" t="n">
        <v>19</v>
      </c>
      <c r="AQ32" s="424" t="n"/>
      <c r="AR32" s="114" t="n">
        <v>19</v>
      </c>
      <c r="AS32" s="424" t="n"/>
      <c r="AT32" s="121" t="n">
        <v>19</v>
      </c>
      <c r="AU32" s="424" t="n"/>
      <c r="AV32" s="122" t="n">
        <v>19</v>
      </c>
      <c r="AW32" s="424" t="n"/>
      <c r="AX32" s="165" t="n">
        <v>19</v>
      </c>
      <c r="AY32" s="424" t="n"/>
      <c r="AZ32" s="166" t="n">
        <v>19</v>
      </c>
      <c r="BA32" s="424" t="n"/>
      <c r="BB32" s="143" t="n">
        <v>19</v>
      </c>
      <c r="BC32" s="424" t="n"/>
      <c r="BD32" s="165" t="n">
        <v>19</v>
      </c>
      <c r="BE32" s="424" t="n"/>
      <c r="BF32" s="122" t="n">
        <v>19</v>
      </c>
      <c r="BG32" s="424" t="n"/>
      <c r="BH32" s="121" t="n">
        <v>19</v>
      </c>
      <c r="BI32" s="424" t="n"/>
      <c r="BJ32" s="114" t="n">
        <v>19</v>
      </c>
      <c r="BK32" s="424" t="n"/>
      <c r="BL32" s="121" t="n">
        <v>19</v>
      </c>
      <c r="BM32" s="424" t="n"/>
      <c r="BN32" s="424" t="n"/>
      <c r="BO32" s="188" t="n"/>
    </row>
    <row r="33" ht="17" customHeight="1" s="418"/>
    <row r="34" ht="34" customHeight="1" s="418"/>
    <row r="35" ht="17" customHeight="1" s="418"/>
    <row r="36" ht="17" customHeight="1" s="418"/>
    <row r="37" ht="17" customHeight="1" s="418"/>
    <row r="38" ht="17" customHeight="1" s="418"/>
    <row r="42" ht="17" customHeight="1" s="418"/>
    <row r="43" ht="17" customHeight="1" s="418"/>
    <row r="44" ht="17" customHeight="1" s="418"/>
    <row r="45" ht="17" customHeight="1" s="418"/>
    <row r="46" ht="17" customHeight="1" s="418"/>
    <row r="47" ht="17" customHeight="1" s="418"/>
    <row r="48" ht="17" customHeight="1" s="418"/>
    <row r="49" ht="17" customHeight="1" s="418"/>
    <row r="50" ht="17" customHeight="1" s="418"/>
    <row r="51" ht="17" customHeight="1" s="418"/>
    <row r="52" ht="34" customHeight="1" s="418"/>
    <row r="53" ht="34" customHeight="1" s="418"/>
    <row r="54" ht="17" customHeight="1" s="418"/>
    <row r="55" ht="17" customHeight="1" s="418"/>
    <row r="56" ht="34" customHeight="1" s="418"/>
    <row r="57" ht="17" customHeight="1" s="418"/>
    <row r="58" ht="34" customHeight="1" s="418"/>
    <row r="59" ht="34" customHeight="1" s="418"/>
    <row r="60" ht="17" customHeight="1" s="418"/>
    <row r="61" ht="17" customHeight="1" s="418"/>
    <row r="62" ht="17" customHeight="1" s="418"/>
    <row r="63" ht="17" customHeight="1" s="418"/>
    <row r="64" ht="17" customHeight="1" s="418"/>
    <row r="65" ht="17" customHeight="1" s="418"/>
    <row r="66" ht="17" customHeight="1" s="418"/>
    <row r="67" ht="34" customHeight="1" s="418"/>
    <row r="68" ht="34" customHeight="1" s="418"/>
    <row r="69" ht="17" customHeight="1" s="418"/>
    <row r="70" ht="34" customHeight="1" s="418"/>
    <row r="71" ht="34" customHeight="1" s="418"/>
    <row r="72" ht="17" customHeight="1" s="418"/>
    <row r="73" ht="17" customHeight="1" s="418"/>
    <row r="74" ht="17" customHeight="1" s="418"/>
    <row r="75" ht="17" customHeight="1" s="418"/>
    <row r="76" ht="34" customHeight="1" s="418"/>
    <row r="77" ht="34" customHeight="1" s="418"/>
    <row r="78" ht="17" customHeight="1" s="418"/>
    <row r="79" ht="17" customHeight="1" s="418"/>
    <row r="80" ht="34" customHeight="1" s="418"/>
    <row r="81" ht="17" customHeight="1" s="418"/>
    <row r="82" ht="17" customHeight="1" s="418"/>
    <row r="83" ht="34" customHeight="1" s="418"/>
    <row r="84" ht="17" customHeight="1" s="418"/>
    <row r="86" ht="17" customHeight="1" s="418"/>
    <row r="87" ht="17" customHeight="1" s="418"/>
    <row r="88" ht="34" customHeight="1" s="418"/>
    <row r="89" ht="17" customHeight="1" s="418"/>
    <row r="90" ht="17" customHeight="1" s="418"/>
    <row r="91" ht="34" customHeight="1" s="418"/>
    <row r="92" ht="17" customHeight="1" s="418"/>
    <row r="93" ht="17" customHeight="1" s="418"/>
    <row r="94" ht="17" customHeight="1" s="418"/>
    <row r="95" ht="17" customHeight="1" s="418"/>
    <row r="96" ht="17" customHeight="1" s="418"/>
    <row r="97" ht="17" customHeight="1" s="418"/>
    <row r="98" ht="17" customHeight="1" s="418"/>
    <row r="99" ht="17" customHeight="1" s="418"/>
    <row r="100" ht="34" customHeight="1" s="418"/>
    <row r="101" ht="17" customHeight="1" s="418"/>
    <row r="102" ht="17" customHeight="1" s="418"/>
    <row r="103" ht="17" customHeight="1" s="418"/>
    <row r="104" ht="17" customHeight="1" s="418"/>
    <row r="105" ht="17" customHeight="1" s="418"/>
    <row r="106" ht="17" customHeight="1" s="418"/>
    <row r="107" ht="17" customHeight="1" s="418"/>
    <row r="108" ht="17" customHeight="1" s="418"/>
    <row r="109" ht="17" customHeight="1" s="418"/>
    <row r="110" ht="17" customHeight="1" s="418"/>
    <row r="111" ht="17" customHeight="1" s="418"/>
    <row r="112" ht="17" customHeight="1" s="418"/>
    <row r="113" ht="17" customHeight="1" s="418"/>
    <row r="114" ht="17" customHeight="1" s="418"/>
    <row r="115" ht="17" customHeight="1" s="418"/>
    <row r="116" ht="17" customHeight="1" s="418"/>
    <row r="117" ht="17" customHeight="1" s="418"/>
    <row r="118" ht="17" customHeight="1" s="418"/>
    <row r="119" ht="17" customHeight="1" s="418"/>
    <row r="120" ht="17" customHeight="1" s="418"/>
    <row r="121" ht="17" customHeight="1" s="418"/>
    <row r="122" ht="17" customHeight="1" s="418"/>
    <row r="123" ht="17" customHeight="1" s="418"/>
    <row r="124" ht="17" customHeight="1" s="418"/>
    <row r="125" ht="17" customHeight="1" s="418"/>
    <row r="126" ht="17" customHeight="1" s="418"/>
    <row r="127" ht="17" customHeight="1" s="418"/>
    <row r="128" ht="17" customHeight="1" s="418"/>
    <row r="129" ht="17.6" customHeight="1" s="418"/>
    <row r="130" ht="17.6" customHeight="1" s="418"/>
    <row r="131" ht="17.6" customHeight="1" s="418"/>
    <row r="132" ht="17" customHeight="1" s="418"/>
    <row r="133" ht="17" customHeight="1" s="418"/>
    <row r="134" ht="17" customHeight="1" s="418"/>
    <row r="135" ht="17" customHeight="1" s="418"/>
    <row r="136" ht="17" customHeight="1" s="418"/>
    <row r="137" ht="34" customHeight="1" s="418"/>
    <row r="138" ht="17" customHeight="1" s="418"/>
    <row r="139" ht="17" customHeight="1" s="418"/>
    <row r="140" ht="17" customHeight="1" s="418"/>
    <row r="141" ht="17" customHeight="1" s="418"/>
    <row r="142" ht="17" customHeight="1" s="418"/>
    <row r="143" ht="17" customHeight="1" s="418"/>
    <row r="144" ht="17" customHeight="1" s="418"/>
    <row r="145" ht="17" customHeight="1" s="418"/>
    <row r="146" ht="17" customHeight="1" s="418"/>
    <row r="147" ht="17" customHeight="1" s="418"/>
    <row r="150" ht="17" customHeight="1" s="418"/>
    <row r="153" ht="17" customHeight="1" s="418"/>
    <row r="154" ht="17" customHeight="1" s="418"/>
    <row r="155" ht="17" customHeight="1" s="418"/>
    <row r="156" ht="17" customHeight="1" s="418"/>
    <row r="157" ht="34" customHeight="1" s="418"/>
    <row r="158" ht="17" customHeight="1" s="418"/>
    <row r="159" ht="17" customHeight="1" s="418"/>
    <row r="160" ht="34" customHeight="1" s="418"/>
    <row r="161" ht="34" customHeight="1" s="418"/>
    <row r="162" ht="17" customHeight="1" s="418"/>
    <row r="163" ht="17" customHeight="1" s="418"/>
    <row r="164" ht="17" customHeight="1" s="418"/>
    <row r="165" ht="17" customHeight="1" s="418"/>
    <row r="166" ht="17" customHeight="1" s="418"/>
    <row r="167" ht="17" customHeight="1" s="418"/>
    <row r="168" ht="17" customHeight="1" s="418"/>
    <row r="169" ht="17" customHeight="1" s="418"/>
    <row r="170" ht="17" customHeight="1" s="418"/>
    <row r="171" ht="17" customHeight="1" s="418"/>
    <row r="172" ht="34" customHeight="1" s="418"/>
    <row r="173" ht="17" customHeight="1" s="418"/>
    <row r="174" ht="17" customHeight="1" s="418"/>
    <row r="175" ht="34" customHeight="1" s="418"/>
    <row r="176" ht="17" customHeight="1" s="418"/>
    <row r="177" ht="17" customHeight="1" s="418"/>
    <row r="178" ht="34" customHeight="1" s="418"/>
    <row r="179" ht="17" customHeight="1" s="418"/>
    <row r="180" ht="17" customHeight="1" s="418"/>
    <row r="181" ht="34" customHeight="1" s="418"/>
    <row r="182" ht="17" customHeight="1" s="418"/>
    <row r="190" ht="34" customHeight="1" s="418"/>
    <row r="191" ht="17" customHeight="1" s="418"/>
    <row r="193" ht="34" customHeight="1" s="418"/>
    <row r="194" ht="17" customHeight="1" s="418"/>
    <row r="195" ht="17" customHeight="1" s="418"/>
    <row r="196" ht="34" customHeight="1" s="418"/>
    <row r="197" ht="17" customHeight="1" s="418"/>
    <row r="202" ht="17" customHeight="1" s="418"/>
    <row r="203" ht="17" customHeight="1" s="418"/>
    <row r="205" ht="34" customHeight="1" s="418"/>
    <row r="206" ht="17" customHeight="1" s="418"/>
    <row r="208" ht="34" customHeight="1" s="418"/>
    <row r="209" ht="17" customHeight="1" s="418"/>
    <row r="214" ht="34" customHeight="1" s="418"/>
    <row r="215" ht="17" customHeight="1" s="418"/>
    <row r="217" ht="34" customHeight="1" s="418"/>
    <row r="218" ht="17" customHeight="1" s="418"/>
    <row r="220" ht="34" customHeight="1" s="418"/>
    <row r="221" ht="17" customHeight="1" s="418"/>
    <row r="223" ht="34" customHeight="1" s="418"/>
    <row r="224" ht="17" customHeight="1" s="418"/>
    <row r="225" ht="34" customHeight="1" s="418"/>
    <row r="226" ht="68" customHeight="1" s="418"/>
    <row r="229" ht="34" customHeight="1" s="418"/>
    <row r="230" ht="17" customHeight="1" s="418"/>
    <row r="232" ht="34" customHeight="1" s="418"/>
    <row r="233" ht="17" customHeight="1" s="418"/>
    <row r="235" ht="34" customHeight="1" s="418"/>
    <row r="236" ht="17" customHeight="1" s="418"/>
    <row r="238" ht="34" customHeight="1" s="418"/>
    <row r="239" ht="17" customHeight="1" s="418"/>
    <row r="241" ht="34" customHeight="1" s="418"/>
    <row r="242" ht="17" customHeight="1" s="418"/>
    <row r="244" ht="17" customHeight="1" s="418"/>
    <row r="245" ht="17" customHeight="1" s="418"/>
    <row r="247" ht="34" customHeight="1" s="418"/>
    <row r="248" ht="17" customHeight="1" s="418"/>
    <row r="250" ht="34" customHeight="1" s="418"/>
    <row r="251" ht="17" customHeight="1" s="418"/>
    <row r="253" ht="34" customHeight="1" s="418"/>
    <row r="254" ht="17" customHeight="1" s="418"/>
    <row r="256" ht="34" customHeight="1" s="418"/>
    <row r="257" ht="17" customHeight="1" s="418"/>
    <row r="259" ht="34" customHeight="1" s="418"/>
    <row r="260" ht="17" customHeight="1" s="418"/>
    <row r="265" ht="34" customHeight="1" s="418"/>
    <row r="266" ht="17" customHeight="1" s="418"/>
    <row r="268" ht="34" customHeight="1" s="418"/>
    <row r="269" ht="17" customHeight="1" s="418"/>
    <row r="271" ht="34" customHeight="1" s="418"/>
    <row r="272" ht="17" customHeight="1" s="418"/>
    <row r="274" ht="17" customHeight="1" s="418"/>
    <row r="275" ht="17" customHeight="1" s="418"/>
    <row r="283" ht="34" customHeight="1" s="418"/>
    <row r="284" ht="17" customHeight="1" s="418"/>
    <row r="286" ht="34" customHeight="1" s="418"/>
    <row r="287" ht="17" customHeight="1" s="418"/>
    <row r="292" ht="34" customHeight="1" s="418"/>
    <row r="293" ht="17" customHeight="1" s="418"/>
    <row r="297" ht="17" customHeight="1" s="418"/>
    <row r="301" ht="34" customHeight="1" s="418"/>
    <row r="302" ht="17" customHeight="1" s="418"/>
    <row r="304" ht="34" customHeight="1" s="418"/>
    <row r="305" ht="17" customHeight="1" s="418"/>
    <row r="313" ht="34" customHeight="1" s="418"/>
    <row r="314" ht="17" customHeight="1" s="418"/>
    <row r="319" ht="34" customHeight="1" s="418"/>
    <row r="320" ht="17" customHeight="1" s="418"/>
    <row r="322" ht="34" customHeight="1" s="418"/>
    <row r="323" ht="17" customHeight="1" s="418"/>
    <row r="325" ht="34" customHeight="1" s="418"/>
    <row r="326" ht="17" customHeight="1" s="418"/>
    <row r="352" ht="34" customHeight="1" s="418"/>
    <row r="353" ht="17" customHeight="1" s="418"/>
    <row r="355" ht="34" customHeight="1" s="418"/>
    <row r="356" ht="17" customHeight="1" s="418"/>
    <row r="358" ht="17" customHeight="1" s="418"/>
    <row r="359" ht="17" customHeight="1" s="418"/>
    <row r="361" ht="34" customHeight="1" s="418"/>
    <row r="362" ht="17" customHeight="1" s="418"/>
    <row r="370" ht="34" customHeight="1" s="418"/>
    <row r="371" ht="17" customHeight="1" s="418"/>
    <row r="373" ht="34" customHeight="1" s="418"/>
    <row r="374" ht="17" customHeight="1" s="418"/>
    <row r="376" ht="17" customHeight="1" s="418"/>
    <row r="377" ht="17" customHeight="1" s="418"/>
    <row r="379" ht="17" customHeight="1" s="418"/>
    <row r="380" ht="17" customHeight="1" s="418"/>
    <row r="382" ht="17" customHeight="1" s="418"/>
    <row r="383" ht="17" customHeight="1" s="418"/>
  </sheetData>
  <mergeCells count="3636">
    <mergeCell ref="AC177:AC179"/>
    <mergeCell ref="AY39:AY41"/>
    <mergeCell ref="H69:H71"/>
    <mergeCell ref="C144:C146"/>
    <mergeCell ref="AU135:AU137"/>
    <mergeCell ref="BK48:BK50"/>
    <mergeCell ref="AB204:AB206"/>
    <mergeCell ref="H183:H185"/>
    <mergeCell ref="AX294:AX296"/>
    <mergeCell ref="AL201:AL203"/>
    <mergeCell ref="R180:R182"/>
    <mergeCell ref="A81:A83"/>
    <mergeCell ref="BH195:BH197"/>
    <mergeCell ref="R93:R95"/>
    <mergeCell ref="AL141:AL143"/>
    <mergeCell ref="B207:B209"/>
    <mergeCell ref="BF276:BF278"/>
    <mergeCell ref="B321:B323"/>
    <mergeCell ref="BH9:BH11"/>
    <mergeCell ref="J135:J137"/>
    <mergeCell ref="AQ24:AQ26"/>
    <mergeCell ref="AA138:AA140"/>
    <mergeCell ref="B165:B167"/>
    <mergeCell ref="BA21:BA23"/>
    <mergeCell ref="BK81:BK83"/>
    <mergeCell ref="BN204:BN206"/>
    <mergeCell ref="X102:X104"/>
    <mergeCell ref="H216:H218"/>
    <mergeCell ref="X129:X131"/>
    <mergeCell ref="AN288:AN290"/>
    <mergeCell ref="T150:T152"/>
    <mergeCell ref="AN207:AN209"/>
    <mergeCell ref="BN75:BN77"/>
    <mergeCell ref="A228:A230"/>
    <mergeCell ref="AK162:AK164"/>
    <mergeCell ref="AZ84:AZ86"/>
    <mergeCell ref="A222:A224"/>
    <mergeCell ref="AZ78:AZ80"/>
    <mergeCell ref="BH342:BH344"/>
    <mergeCell ref="AU153:AU155"/>
    <mergeCell ref="BH336:BH338"/>
    <mergeCell ref="U120:U122"/>
    <mergeCell ref="AS90:AS92"/>
    <mergeCell ref="AC204:AC206"/>
    <mergeCell ref="BM138:BM140"/>
    <mergeCell ref="Z159:Z161"/>
    <mergeCell ref="AC198:AC200"/>
    <mergeCell ref="Z195:Z197"/>
    <mergeCell ref="Z72:Z74"/>
    <mergeCell ref="P48:P50"/>
    <mergeCell ref="AC231:AC233"/>
    <mergeCell ref="BB144:BB146"/>
    <mergeCell ref="AQ42:AQ44"/>
    <mergeCell ref="AR24:AR26"/>
    <mergeCell ref="AD192:AD194"/>
    <mergeCell ref="AI126:AI128"/>
    <mergeCell ref="C12:C14"/>
    <mergeCell ref="BH366:BH368"/>
    <mergeCell ref="BI36:BI38"/>
    <mergeCell ref="BL159:BL161"/>
    <mergeCell ref="V57:V59"/>
    <mergeCell ref="AP105:AP107"/>
    <mergeCell ref="BI30:BI32"/>
    <mergeCell ref="AC345:AC347"/>
    <mergeCell ref="AS141:AS143"/>
    <mergeCell ref="B222:B224"/>
    <mergeCell ref="Z63:Z65"/>
    <mergeCell ref="AI117:AI119"/>
    <mergeCell ref="C312:C314"/>
    <mergeCell ref="AI111:AI113"/>
    <mergeCell ref="BI336:BI338"/>
    <mergeCell ref="AS108:AS110"/>
    <mergeCell ref="BK216:BK218"/>
    <mergeCell ref="I78:I80"/>
    <mergeCell ref="AK183:AK185"/>
    <mergeCell ref="BH363:BH365"/>
    <mergeCell ref="J204:J206"/>
    <mergeCell ref="C339:C341"/>
    <mergeCell ref="BB195:BB197"/>
    <mergeCell ref="AH174:AH176"/>
    <mergeCell ref="AW297:AW299"/>
    <mergeCell ref="AX333:AX335"/>
    <mergeCell ref="AA72:AA74"/>
    <mergeCell ref="BK6:BK8"/>
    <mergeCell ref="X27:X29"/>
    <mergeCell ref="D6:D8"/>
    <mergeCell ref="H141:H143"/>
    <mergeCell ref="C216:C218"/>
    <mergeCell ref="AA186:AA188"/>
    <mergeCell ref="R132:R134"/>
    <mergeCell ref="AY57:AY59"/>
    <mergeCell ref="BG114:BG116"/>
    <mergeCell ref="BK306:BK308"/>
    <mergeCell ref="D306:D308"/>
    <mergeCell ref="Y24:Y26"/>
    <mergeCell ref="B273:B275"/>
    <mergeCell ref="BE51:BE53"/>
    <mergeCell ref="N150:N152"/>
    <mergeCell ref="BM153:BM155"/>
    <mergeCell ref="BK120:BK122"/>
    <mergeCell ref="BN279:BN281"/>
    <mergeCell ref="AT141:AT143"/>
    <mergeCell ref="AQ96:AQ98"/>
    <mergeCell ref="N21:N23"/>
    <mergeCell ref="BF12:BF14"/>
    <mergeCell ref="AW294:AW296"/>
    <mergeCell ref="AK201:AK203"/>
    <mergeCell ref="BA87:BA89"/>
    <mergeCell ref="BI171:BI173"/>
    <mergeCell ref="AM147:AM149"/>
    <mergeCell ref="AF15:AF17"/>
    <mergeCell ref="D339:D341"/>
    <mergeCell ref="X45:X47"/>
    <mergeCell ref="H159:H161"/>
    <mergeCell ref="A294:A296"/>
    <mergeCell ref="AY60:AY62"/>
    <mergeCell ref="A321:A323"/>
    <mergeCell ref="BC189:BC191"/>
    <mergeCell ref="P210:P212"/>
    <mergeCell ref="BC195:BC197"/>
    <mergeCell ref="BF348:BF350"/>
    <mergeCell ref="Z111:Z113"/>
    <mergeCell ref="A165:A167"/>
    <mergeCell ref="P87:P89"/>
    <mergeCell ref="AS156:AS158"/>
    <mergeCell ref="B255:B257"/>
    <mergeCell ref="Z147:Z149"/>
    <mergeCell ref="AC270:AC272"/>
    <mergeCell ref="BH78:BH80"/>
    <mergeCell ref="BC180:BC182"/>
    <mergeCell ref="BM204:BM206"/>
    <mergeCell ref="U39:U41"/>
    <mergeCell ref="P114:P116"/>
    <mergeCell ref="C351:C353"/>
    <mergeCell ref="AY84:AY86"/>
    <mergeCell ref="AR219:AR221"/>
    <mergeCell ref="BD183:BD185"/>
    <mergeCell ref="BI75:BI77"/>
    <mergeCell ref="C264:C266"/>
    <mergeCell ref="N51:N53"/>
    <mergeCell ref="G84:G86"/>
    <mergeCell ref="R186:R188"/>
    <mergeCell ref="AB177:AB179"/>
    <mergeCell ref="H156:H158"/>
    <mergeCell ref="AY42:AY44"/>
    <mergeCell ref="BI102:BI104"/>
    <mergeCell ref="AF24:AF26"/>
    <mergeCell ref="P138:P140"/>
    <mergeCell ref="BG39:BG41"/>
    <mergeCell ref="AX105:AX107"/>
    <mergeCell ref="BA144:BA146"/>
    <mergeCell ref="BN327:BN329"/>
    <mergeCell ref="BD186:BD188"/>
    <mergeCell ref="L189:L191"/>
    <mergeCell ref="P9:P11"/>
    <mergeCell ref="X66:X68"/>
    <mergeCell ref="D45:D47"/>
    <mergeCell ref="C255:C257"/>
    <mergeCell ref="AA225:AA227"/>
    <mergeCell ref="BE306:BE308"/>
    <mergeCell ref="AO78:AO80"/>
    <mergeCell ref="BK159:BK161"/>
    <mergeCell ref="A192:A194"/>
    <mergeCell ref="H207:H209"/>
    <mergeCell ref="BA48:BA50"/>
    <mergeCell ref="R204:R206"/>
    <mergeCell ref="BB138:BB140"/>
    <mergeCell ref="BE177:BE179"/>
    <mergeCell ref="R198:R200"/>
    <mergeCell ref="B312:B314"/>
    <mergeCell ref="AW33:AW35"/>
    <mergeCell ref="BE297:BE299"/>
    <mergeCell ref="H84:H86"/>
    <mergeCell ref="A219:A221"/>
    <mergeCell ref="P141:P143"/>
    <mergeCell ref="R75:R77"/>
    <mergeCell ref="Z132:Z134"/>
    <mergeCell ref="AN12:AN14"/>
    <mergeCell ref="A33:A35"/>
    <mergeCell ref="BG57:BG59"/>
    <mergeCell ref="AQ171:AQ173"/>
    <mergeCell ref="D192:D194"/>
    <mergeCell ref="B216:B218"/>
    <mergeCell ref="BN345:BN347"/>
    <mergeCell ref="AT207:AT209"/>
    <mergeCell ref="Z186:Z188"/>
    <mergeCell ref="BK63:BK65"/>
    <mergeCell ref="BD198:BD200"/>
    <mergeCell ref="D63:D65"/>
    <mergeCell ref="A333:A335"/>
    <mergeCell ref="J144:J146"/>
    <mergeCell ref="AT78:AT80"/>
    <mergeCell ref="V21:V23"/>
    <mergeCell ref="AS201:AS203"/>
    <mergeCell ref="AM33:AM35"/>
    <mergeCell ref="D246:D248"/>
    <mergeCell ref="AS114:AS116"/>
    <mergeCell ref="BI27:BI29"/>
    <mergeCell ref="V48:V50"/>
    <mergeCell ref="S198:S200"/>
    <mergeCell ref="BC132:BC134"/>
    <mergeCell ref="AC342:AC344"/>
    <mergeCell ref="P153:P155"/>
    <mergeCell ref="AJ201:AJ203"/>
    <mergeCell ref="AQ51:AQ53"/>
    <mergeCell ref="P72:P74"/>
    <mergeCell ref="Z54:Z56"/>
    <mergeCell ref="BI327:BI329"/>
    <mergeCell ref="AC213:AC215"/>
    <mergeCell ref="AY150:AY152"/>
    <mergeCell ref="AT225:AT227"/>
    <mergeCell ref="BB309:BB311"/>
    <mergeCell ref="J195:J197"/>
    <mergeCell ref="AO3:AO5"/>
    <mergeCell ref="T192:T194"/>
    <mergeCell ref="AC39:AC41"/>
    <mergeCell ref="AO39:AO41"/>
    <mergeCell ref="B60:B62"/>
    <mergeCell ref="H222:H224"/>
    <mergeCell ref="L42:L44"/>
    <mergeCell ref="AM30:AM32"/>
    <mergeCell ref="BI174:BI176"/>
    <mergeCell ref="R129:R131"/>
    <mergeCell ref="AI135:AI137"/>
    <mergeCell ref="C21:C23"/>
    <mergeCell ref="AD36:AD38"/>
    <mergeCell ref="B360:B362"/>
    <mergeCell ref="Z201:Z203"/>
    <mergeCell ref="BF342:BF344"/>
    <mergeCell ref="BA210:BA212"/>
    <mergeCell ref="AJ231:AJ233"/>
    <mergeCell ref="X138:X140"/>
    <mergeCell ref="D117:D119"/>
    <mergeCell ref="BK111:BK113"/>
    <mergeCell ref="B84:B86"/>
    <mergeCell ref="AT222:AT224"/>
    <mergeCell ref="BN270:BN272"/>
    <mergeCell ref="N108:N110"/>
    <mergeCell ref="X168:X170"/>
    <mergeCell ref="T189:T191"/>
    <mergeCell ref="X9:X11"/>
    <mergeCell ref="A258:A260"/>
    <mergeCell ref="AP126:AP128"/>
    <mergeCell ref="BF39:BF41"/>
    <mergeCell ref="AO21:AO23"/>
    <mergeCell ref="AH183:AH185"/>
    <mergeCell ref="AW105:AW107"/>
    <mergeCell ref="BC186:BC188"/>
    <mergeCell ref="C24:C26"/>
    <mergeCell ref="H150:H152"/>
    <mergeCell ref="P207:P209"/>
    <mergeCell ref="C18:C20"/>
    <mergeCell ref="AC243:AC245"/>
    <mergeCell ref="BM177:BM179"/>
    <mergeCell ref="AN84:AN86"/>
    <mergeCell ref="T30:T32"/>
    <mergeCell ref="BJ168:BJ170"/>
    <mergeCell ref="D21:D23"/>
    <mergeCell ref="Q204:Q206"/>
    <mergeCell ref="AV12:AV14"/>
    <mergeCell ref="BA138:BA140"/>
    <mergeCell ref="AO174:AO176"/>
    <mergeCell ref="BF72:BF74"/>
    <mergeCell ref="BI195:BI197"/>
    <mergeCell ref="BD297:BD299"/>
    <mergeCell ref="AY165:AY167"/>
    <mergeCell ref="BF186:BF188"/>
    <mergeCell ref="BN288:BN290"/>
    <mergeCell ref="J210:J212"/>
    <mergeCell ref="AO18:AO20"/>
    <mergeCell ref="AV39:AV41"/>
    <mergeCell ref="BI66:BI68"/>
    <mergeCell ref="V87:V89"/>
    <mergeCell ref="BL225:BL227"/>
    <mergeCell ref="AP144:AP146"/>
    <mergeCell ref="V123:V125"/>
    <mergeCell ref="V6:V8"/>
    <mergeCell ref="C192:C194"/>
    <mergeCell ref="BM351:BM353"/>
    <mergeCell ref="AS207:AS209"/>
    <mergeCell ref="T60:T62"/>
    <mergeCell ref="BC204:BC206"/>
    <mergeCell ref="AZ159:AZ161"/>
    <mergeCell ref="BC198:BC200"/>
    <mergeCell ref="B285:B287"/>
    <mergeCell ref="BA141:BA143"/>
    <mergeCell ref="N162:N164"/>
    <mergeCell ref="AW300:AW302"/>
    <mergeCell ref="X153:X155"/>
    <mergeCell ref="AC279:AC281"/>
    <mergeCell ref="X180:X182"/>
    <mergeCell ref="V120:V122"/>
    <mergeCell ref="B99:B101"/>
    <mergeCell ref="AR201:AR203"/>
    <mergeCell ref="BB261:BB263"/>
    <mergeCell ref="BI213:BI215"/>
    <mergeCell ref="X93:X95"/>
    <mergeCell ref="O159:O161"/>
    <mergeCell ref="BI126:BI128"/>
    <mergeCell ref="BG150:BG152"/>
    <mergeCell ref="B126:B128"/>
    <mergeCell ref="BB225:BB227"/>
    <mergeCell ref="E12:E14"/>
    <mergeCell ref="R195:R197"/>
    <mergeCell ref="AQ108:AQ110"/>
    <mergeCell ref="B3:B5"/>
    <mergeCell ref="H165:H167"/>
    <mergeCell ref="J60:J62"/>
    <mergeCell ref="T42:T44"/>
    <mergeCell ref="BG21:BG23"/>
    <mergeCell ref="AD102:AD104"/>
    <mergeCell ref="AC312:AC314"/>
    <mergeCell ref="BD327:BD329"/>
    <mergeCell ref="D69:D71"/>
    <mergeCell ref="N66:N68"/>
    <mergeCell ref="BK183:BK185"/>
    <mergeCell ref="AQ162:AQ164"/>
    <mergeCell ref="A60:A62"/>
    <mergeCell ref="D183:D185"/>
    <mergeCell ref="AT294:AT296"/>
    <mergeCell ref="N180:N182"/>
    <mergeCell ref="BA153:BA155"/>
    <mergeCell ref="BI210:BI212"/>
    <mergeCell ref="BN342:BN344"/>
    <mergeCell ref="AA120:AA122"/>
    <mergeCell ref="N93:N95"/>
    <mergeCell ref="A330:A332"/>
    <mergeCell ref="D369:D371"/>
    <mergeCell ref="AC15:AC17"/>
    <mergeCell ref="AI177:AI179"/>
    <mergeCell ref="A360:A362"/>
    <mergeCell ref="Y201:Y203"/>
    <mergeCell ref="BD9:BD11"/>
    <mergeCell ref="C90:C92"/>
    <mergeCell ref="W138:W140"/>
    <mergeCell ref="C117:C119"/>
    <mergeCell ref="AM24:AM26"/>
    <mergeCell ref="BG81:BG83"/>
    <mergeCell ref="AM60:AM62"/>
    <mergeCell ref="AS222:AS224"/>
    <mergeCell ref="AW42:AW44"/>
    <mergeCell ref="T129:T131"/>
    <mergeCell ref="BE99:BE101"/>
    <mergeCell ref="BC129:BC131"/>
    <mergeCell ref="P150:P152"/>
    <mergeCell ref="AD120:AD122"/>
    <mergeCell ref="W18:W20"/>
    <mergeCell ref="AV84:AV86"/>
    <mergeCell ref="D87:D89"/>
    <mergeCell ref="AY123:AY125"/>
    <mergeCell ref="AV78:AV80"/>
    <mergeCell ref="AB57:AB59"/>
    <mergeCell ref="BL306:BL308"/>
    <mergeCell ref="BK201:BK203"/>
    <mergeCell ref="AQ180:AQ182"/>
    <mergeCell ref="BD363:BD365"/>
    <mergeCell ref="B24:B26"/>
    <mergeCell ref="Y204:Y206"/>
    <mergeCell ref="AO117:AO119"/>
    <mergeCell ref="BI138:BI140"/>
    <mergeCell ref="Y198:Y200"/>
    <mergeCell ref="C150:C152"/>
    <mergeCell ref="AM84:AM86"/>
    <mergeCell ref="BL297:BL299"/>
    <mergeCell ref="AY108:AY110"/>
    <mergeCell ref="BN72:BN74"/>
    <mergeCell ref="V195:V197"/>
    <mergeCell ref="AW75:AW77"/>
    <mergeCell ref="B51:B53"/>
    <mergeCell ref="BI9:BI11"/>
    <mergeCell ref="R210:R212"/>
    <mergeCell ref="B324:B326"/>
    <mergeCell ref="Y231:Y233"/>
    <mergeCell ref="P177:P179"/>
    <mergeCell ref="AU12:AU14"/>
    <mergeCell ref="BF315:BF317"/>
    <mergeCell ref="AX144:AX146"/>
    <mergeCell ref="C108:C110"/>
    <mergeCell ref="BK354:BK356"/>
    <mergeCell ref="N114:N116"/>
    <mergeCell ref="AN24:AN26"/>
    <mergeCell ref="Z192:Z194"/>
    <mergeCell ref="A45:A47"/>
    <mergeCell ref="AU39:AU41"/>
    <mergeCell ref="AC351:AC353"/>
    <mergeCell ref="BE36:BE38"/>
    <mergeCell ref="BK198:BK200"/>
    <mergeCell ref="BE30:BE32"/>
    <mergeCell ref="AL105:AL107"/>
    <mergeCell ref="AO144:AO146"/>
    <mergeCell ref="C318:C320"/>
    <mergeCell ref="AR186:AR188"/>
    <mergeCell ref="AM81:AM83"/>
    <mergeCell ref="V63:V65"/>
    <mergeCell ref="B42:B44"/>
    <mergeCell ref="AW78:AW80"/>
    <mergeCell ref="BJ261:BJ263"/>
    <mergeCell ref="AD174:AD176"/>
    <mergeCell ref="W72:W74"/>
    <mergeCell ref="W186:W188"/>
    <mergeCell ref="N132:N134"/>
    <mergeCell ref="AD45:AD47"/>
    <mergeCell ref="D12:D14"/>
    <mergeCell ref="L69:L71"/>
    <mergeCell ref="AY162:AY164"/>
    <mergeCell ref="BM15:BM17"/>
    <mergeCell ref="N186:N188"/>
    <mergeCell ref="AM63:AM65"/>
    <mergeCell ref="AW129:AW131"/>
    <mergeCell ref="X183:X185"/>
    <mergeCell ref="BI153:BI155"/>
    <mergeCell ref="BG120:BG122"/>
    <mergeCell ref="AM99:AM101"/>
    <mergeCell ref="BJ279:BJ281"/>
    <mergeCell ref="AP141:AP143"/>
    <mergeCell ref="V114:V116"/>
    <mergeCell ref="J21:J23"/>
    <mergeCell ref="BE57:BE59"/>
    <mergeCell ref="AS294:AS296"/>
    <mergeCell ref="BM342:BM344"/>
    <mergeCell ref="C33:C35"/>
    <mergeCell ref="AB15:AB17"/>
    <mergeCell ref="BF297:BF299"/>
    <mergeCell ref="AU60:AU62"/>
    <mergeCell ref="D159:D161"/>
    <mergeCell ref="AY195:AY197"/>
    <mergeCell ref="AY189:AY191"/>
    <mergeCell ref="BN312:BN314"/>
    <mergeCell ref="BB348:BB350"/>
    <mergeCell ref="B96:B98"/>
    <mergeCell ref="AO69:AO71"/>
    <mergeCell ref="B90:B92"/>
    <mergeCell ref="L87:L89"/>
    <mergeCell ref="V147:V149"/>
    <mergeCell ref="BI204:BI206"/>
    <mergeCell ref="AY180:AY182"/>
    <mergeCell ref="Q39:Q41"/>
    <mergeCell ref="BN15:BN17"/>
    <mergeCell ref="AU84:AU86"/>
    <mergeCell ref="AS198:AS200"/>
    <mergeCell ref="BE75:BE77"/>
    <mergeCell ref="AK54:AK56"/>
    <mergeCell ref="BJ201:BJ203"/>
    <mergeCell ref="P120:P122"/>
    <mergeCell ref="AQ135:AQ137"/>
    <mergeCell ref="X204:X206"/>
    <mergeCell ref="BH138:BH140"/>
    <mergeCell ref="BM72:BM74"/>
    <mergeCell ref="R36:R38"/>
    <mergeCell ref="U159:U161"/>
    <mergeCell ref="BK297:BK299"/>
    <mergeCell ref="BE102:BE104"/>
    <mergeCell ref="N57:N59"/>
    <mergeCell ref="BC39:BC41"/>
    <mergeCell ref="L138:L140"/>
    <mergeCell ref="AH228:AH230"/>
    <mergeCell ref="BB276:BB278"/>
    <mergeCell ref="AH222:AH224"/>
    <mergeCell ref="AW144:AW146"/>
    <mergeCell ref="B108:B110"/>
    <mergeCell ref="AC6:AC8"/>
    <mergeCell ref="AC123:AC125"/>
    <mergeCell ref="BJ327:BJ329"/>
    <mergeCell ref="BM30:BM32"/>
    <mergeCell ref="H189:H191"/>
    <mergeCell ref="L9:L11"/>
    <mergeCell ref="T66:T68"/>
    <mergeCell ref="AH156:AH161"/>
    <mergeCell ref="T102:T104"/>
    <mergeCell ref="BA306:BA308"/>
    <mergeCell ref="BG159:BG161"/>
    <mergeCell ref="A171:A173"/>
    <mergeCell ref="D330:D332"/>
    <mergeCell ref="R39:R41"/>
    <mergeCell ref="D207:D209"/>
    <mergeCell ref="N204:N206"/>
    <mergeCell ref="AB30:AB32"/>
    <mergeCell ref="AD117:AD119"/>
    <mergeCell ref="N198:N200"/>
    <mergeCell ref="AX138:AX140"/>
    <mergeCell ref="AS33:AS35"/>
    <mergeCell ref="BA177:BA179"/>
    <mergeCell ref="BA297:BA299"/>
    <mergeCell ref="BD336:BD338"/>
    <mergeCell ref="BM54:BM56"/>
    <mergeCell ref="D84:D86"/>
    <mergeCell ref="BK288:BK290"/>
    <mergeCell ref="N75:N77"/>
    <mergeCell ref="X135:X137"/>
    <mergeCell ref="V159:V161"/>
    <mergeCell ref="AM171:AM173"/>
    <mergeCell ref="V72:V74"/>
    <mergeCell ref="C141:C143"/>
    <mergeCell ref="AC24:AC26"/>
    <mergeCell ref="BJ345:BJ347"/>
    <mergeCell ref="AP207:AP209"/>
    <mergeCell ref="V186:V188"/>
    <mergeCell ref="AC18:AC20"/>
    <mergeCell ref="BE129:BE131"/>
    <mergeCell ref="BE123:BE125"/>
    <mergeCell ref="AK102:AK104"/>
    <mergeCell ref="AZ198:AZ200"/>
    <mergeCell ref="BG63:BG65"/>
    <mergeCell ref="AU99:AU101"/>
    <mergeCell ref="AZ225:AZ227"/>
    <mergeCell ref="J123:J125"/>
    <mergeCell ref="C99:C101"/>
    <mergeCell ref="R21:R23"/>
    <mergeCell ref="AB81:AB83"/>
    <mergeCell ref="H60:H62"/>
    <mergeCell ref="AQ204:AQ206"/>
    <mergeCell ref="D225:D227"/>
    <mergeCell ref="BH72:BH74"/>
    <mergeCell ref="BI279:BI281"/>
    <mergeCell ref="AO141:AO143"/>
    <mergeCell ref="B162:B164"/>
    <mergeCell ref="O198:O200"/>
    <mergeCell ref="AY132:AY134"/>
    <mergeCell ref="BL315:BL317"/>
    <mergeCell ref="L153:L155"/>
    <mergeCell ref="AM168:AM170"/>
    <mergeCell ref="AR294:AR296"/>
    <mergeCell ref="BK9:BK11"/>
    <mergeCell ref="V54:V56"/>
    <mergeCell ref="B33:B35"/>
    <mergeCell ref="AC192:AC194"/>
    <mergeCell ref="J90:J92"/>
    <mergeCell ref="V90:V92"/>
    <mergeCell ref="AD147:AD149"/>
    <mergeCell ref="J126:J128"/>
    <mergeCell ref="C159:C161"/>
    <mergeCell ref="AX195:AX197"/>
    <mergeCell ref="AU150:AU152"/>
    <mergeCell ref="AA129:AA131"/>
    <mergeCell ref="BN81:BN83"/>
    <mergeCell ref="AQ288:AQ290"/>
    <mergeCell ref="T27:T29"/>
    <mergeCell ref="AX309:AX311"/>
    <mergeCell ref="A96:A98"/>
    <mergeCell ref="AD18:AD20"/>
    <mergeCell ref="BK222:BK224"/>
    <mergeCell ref="AU21:AU23"/>
    <mergeCell ref="D222:D224"/>
    <mergeCell ref="BC78:BC80"/>
    <mergeCell ref="H42:H44"/>
    <mergeCell ref="BN381:BN383"/>
    <mergeCell ref="BC114:BC116"/>
    <mergeCell ref="E348:E350"/>
    <mergeCell ref="AC81:AC83"/>
    <mergeCell ref="Z36:Z38"/>
    <mergeCell ref="AT84:AT86"/>
    <mergeCell ref="AO159:AO161"/>
    <mergeCell ref="G105:G107"/>
    <mergeCell ref="BB342:BB344"/>
    <mergeCell ref="B180:B182"/>
    <mergeCell ref="AW210:AW212"/>
    <mergeCell ref="BL333:BL335"/>
    <mergeCell ref="AM96:AM98"/>
    <mergeCell ref="BG111:BG113"/>
    <mergeCell ref="C156:C158"/>
    <mergeCell ref="AW87:AW89"/>
    <mergeCell ref="AP222:AP224"/>
    <mergeCell ref="J108:J110"/>
    <mergeCell ref="T168:T170"/>
    <mergeCell ref="D282:D284"/>
    <mergeCell ref="T9:T11"/>
    <mergeCell ref="H45:H47"/>
    <mergeCell ref="BB39:BB41"/>
    <mergeCell ref="AS105:AS107"/>
    <mergeCell ref="AV144:AV146"/>
    <mergeCell ref="AY186:AY188"/>
    <mergeCell ref="D150:D152"/>
    <mergeCell ref="BI177:BI179"/>
    <mergeCell ref="AO156:AO158"/>
    <mergeCell ref="AC63:AC65"/>
    <mergeCell ref="AH138:AH149"/>
    <mergeCell ref="BA33:BA35"/>
    <mergeCell ref="BK93:BK95"/>
    <mergeCell ref="BF168:BF170"/>
    <mergeCell ref="C303:C305"/>
    <mergeCell ref="M204:M206"/>
    <mergeCell ref="AC117:AC119"/>
    <mergeCell ref="AN219:AN221"/>
    <mergeCell ref="AK174:AK176"/>
    <mergeCell ref="AR12:AR14"/>
    <mergeCell ref="AW138:AW140"/>
    <mergeCell ref="AZ297:AZ299"/>
    <mergeCell ref="AM108:AM110"/>
    <mergeCell ref="BB72:BB74"/>
    <mergeCell ref="AU165:AU167"/>
    <mergeCell ref="BN6:BN8"/>
    <mergeCell ref="BJ288:BJ290"/>
    <mergeCell ref="BE66:BE68"/>
    <mergeCell ref="A111:A113"/>
    <mergeCell ref="BH225:BH227"/>
    <mergeCell ref="AL144:AL146"/>
    <mergeCell ref="R123:R125"/>
    <mergeCell ref="BI351:BI353"/>
    <mergeCell ref="AB24:AB26"/>
    <mergeCell ref="AO207:AO209"/>
    <mergeCell ref="P60:P62"/>
    <mergeCell ref="AY204:AY206"/>
    <mergeCell ref="N27:N29"/>
    <mergeCell ref="AY198:AY200"/>
    <mergeCell ref="BN120:BN122"/>
    <mergeCell ref="B105:B107"/>
    <mergeCell ref="AK42:AK44"/>
    <mergeCell ref="AK78:AK80"/>
    <mergeCell ref="T180:T182"/>
    <mergeCell ref="AN201:AN203"/>
    <mergeCell ref="AX261:AX263"/>
    <mergeCell ref="BI48:BI50"/>
    <mergeCell ref="T93:T95"/>
    <mergeCell ref="A162:A164"/>
    <mergeCell ref="K159:K161"/>
    <mergeCell ref="BH276:BH278"/>
    <mergeCell ref="AF6:AF8"/>
    <mergeCell ref="BJ9:BJ11"/>
    <mergeCell ref="BI348:BI350"/>
    <mergeCell ref="D165:D167"/>
    <mergeCell ref="BC21:BC23"/>
    <mergeCell ref="B132:B134"/>
    <mergeCell ref="AC147:AC149"/>
    <mergeCell ref="BM81:BM83"/>
    <mergeCell ref="Z102:Z104"/>
    <mergeCell ref="J216:J218"/>
    <mergeCell ref="AZ327:AZ329"/>
    <mergeCell ref="BG183:BG185"/>
    <mergeCell ref="C228:C230"/>
    <mergeCell ref="AM162:AM164"/>
    <mergeCell ref="BB84:BB86"/>
    <mergeCell ref="C222:C224"/>
    <mergeCell ref="BJ342:BJ344"/>
    <mergeCell ref="AW153:AW155"/>
    <mergeCell ref="BJ336:BJ338"/>
    <mergeCell ref="A309:A311"/>
    <mergeCell ref="W120:W122"/>
    <mergeCell ref="T75:T77"/>
    <mergeCell ref="AS57:AS59"/>
    <mergeCell ref="T111:T113"/>
    <mergeCell ref="AI33:AI35"/>
    <mergeCell ref="AB168:AB170"/>
    <mergeCell ref="U201:U203"/>
    <mergeCell ref="A180:A182"/>
    <mergeCell ref="AS171:AS173"/>
    <mergeCell ref="R48:R50"/>
    <mergeCell ref="BN174:BN176"/>
    <mergeCell ref="P15:P17"/>
    <mergeCell ref="V177:V179"/>
    <mergeCell ref="AO222:AO224"/>
    <mergeCell ref="BM63:BM65"/>
    <mergeCell ref="AS42:AS44"/>
    <mergeCell ref="P129:P131"/>
    <mergeCell ref="BM99:BM101"/>
    <mergeCell ref="L150:L152"/>
    <mergeCell ref="S18:S20"/>
    <mergeCell ref="AU123:AU125"/>
    <mergeCell ref="AD225:AD227"/>
    <mergeCell ref="BH306:BH308"/>
    <mergeCell ref="BK36:BK38"/>
    <mergeCell ref="AR105:AR107"/>
    <mergeCell ref="C246:C248"/>
    <mergeCell ref="AM180:AM182"/>
    <mergeCell ref="U204:U206"/>
    <mergeCell ref="AK117:AK119"/>
    <mergeCell ref="AB63:AB65"/>
    <mergeCell ref="U198:U200"/>
    <mergeCell ref="AI84:AI86"/>
    <mergeCell ref="BE138:BE140"/>
    <mergeCell ref="BK336:BK338"/>
    <mergeCell ref="AU108:AU110"/>
    <mergeCell ref="BE168:BE170"/>
    <mergeCell ref="B303:B305"/>
    <mergeCell ref="BE9:BE11"/>
    <mergeCell ref="AB96:AB98"/>
    <mergeCell ref="BM66:BM68"/>
    <mergeCell ref="AB90:AB92"/>
    <mergeCell ref="L204:L206"/>
    <mergeCell ref="AQ12:AQ14"/>
    <mergeCell ref="BB315:BB317"/>
    <mergeCell ref="R66:R68"/>
    <mergeCell ref="V201:V203"/>
    <mergeCell ref="BN192:BN194"/>
    <mergeCell ref="AC72:AC74"/>
    <mergeCell ref="BD231:BD233"/>
    <mergeCell ref="AW207:AW209"/>
    <mergeCell ref="AJ18:AJ20"/>
    <mergeCell ref="T132:T134"/>
    <mergeCell ref="AQ39:AQ41"/>
    <mergeCell ref="BN63:BN65"/>
    <mergeCell ref="BG198:BG200"/>
    <mergeCell ref="BA30:BA32"/>
    <mergeCell ref="A210:A212"/>
    <mergeCell ref="C297:C299"/>
    <mergeCell ref="AK144:AK146"/>
    <mergeCell ref="BK54:BK56"/>
    <mergeCell ref="D273:D275"/>
    <mergeCell ref="AI81:AI83"/>
    <mergeCell ref="AD156:AD158"/>
    <mergeCell ref="BF261:BF263"/>
    <mergeCell ref="AU159:AU161"/>
    <mergeCell ref="BM120:BM122"/>
    <mergeCell ref="BN147:BN152"/>
    <mergeCell ref="AJ207:AJ209"/>
    <mergeCell ref="AB93:AB95"/>
    <mergeCell ref="L207:L209"/>
    <mergeCell ref="B204:B206"/>
    <mergeCell ref="P30:P32"/>
    <mergeCell ref="AC219:AC221"/>
    <mergeCell ref="AM201:AM203"/>
    <mergeCell ref="BJ294:BJ296"/>
    <mergeCell ref="AK147:AK149"/>
    <mergeCell ref="Z45:Z47"/>
    <mergeCell ref="J159:J161"/>
    <mergeCell ref="C294:C296"/>
    <mergeCell ref="AY27:AY29"/>
    <mergeCell ref="BE189:BE191"/>
    <mergeCell ref="L48:L50"/>
    <mergeCell ref="BH348:BH350"/>
    <mergeCell ref="AR39:AR41"/>
    <mergeCell ref="AU162:AU164"/>
    <mergeCell ref="R87:R89"/>
    <mergeCell ref="AS129:AS131"/>
    <mergeCell ref="BE153:BE155"/>
    <mergeCell ref="D297:D299"/>
    <mergeCell ref="BI288:BI290"/>
    <mergeCell ref="AY327:AY329"/>
    <mergeCell ref="D291:D293"/>
    <mergeCell ref="AI99:AI101"/>
    <mergeCell ref="BC120:BC122"/>
    <mergeCell ref="BF279:BF281"/>
    <mergeCell ref="R114:R116"/>
    <mergeCell ref="B228:B230"/>
    <mergeCell ref="BA57:BA59"/>
    <mergeCell ref="AV159:AV161"/>
    <mergeCell ref="AO294:AO296"/>
    <mergeCell ref="BI342:BI344"/>
    <mergeCell ref="BK75:BK77"/>
    <mergeCell ref="BN117:BN119"/>
    <mergeCell ref="X15:X17"/>
    <mergeCell ref="AC141:AC143"/>
    <mergeCell ref="A264:A266"/>
    <mergeCell ref="AM138:AM140"/>
    <mergeCell ref="AO108:AO110"/>
    <mergeCell ref="AS300:AS302"/>
    <mergeCell ref="C198:C200"/>
    <mergeCell ref="AM132:AM134"/>
    <mergeCell ref="AU189:AU191"/>
    <mergeCell ref="AU195:AU197"/>
    <mergeCell ref="AY9:AY11"/>
    <mergeCell ref="BK102:BK104"/>
    <mergeCell ref="AX348:AX350"/>
    <mergeCell ref="A135:A137"/>
    <mergeCell ref="AK69:AK71"/>
    <mergeCell ref="AS126:AS128"/>
    <mergeCell ref="H87:H89"/>
    <mergeCell ref="R147:R149"/>
    <mergeCell ref="AZ105:AZ107"/>
    <mergeCell ref="J3:J5"/>
    <mergeCell ref="N195:N197"/>
    <mergeCell ref="B375:B377"/>
    <mergeCell ref="H27:H29"/>
    <mergeCell ref="BH120:BH122"/>
    <mergeCell ref="R18:R20"/>
    <mergeCell ref="AQ84:AQ86"/>
    <mergeCell ref="AO198:AO200"/>
    <mergeCell ref="BM168:BM170"/>
    <mergeCell ref="BA75:BA77"/>
    <mergeCell ref="T204:T206"/>
    <mergeCell ref="AY12:AY14"/>
    <mergeCell ref="BD138:BD140"/>
    <mergeCell ref="N36:N38"/>
    <mergeCell ref="AO51:AO53"/>
    <mergeCell ref="AJ126:AJ128"/>
    <mergeCell ref="BG297:BG299"/>
    <mergeCell ref="BI72:BI74"/>
    <mergeCell ref="J57:J59"/>
    <mergeCell ref="BA129:BA131"/>
    <mergeCell ref="BL231:BL233"/>
    <mergeCell ref="AB132:AB134"/>
    <mergeCell ref="AP12:AP14"/>
    <mergeCell ref="AX276:AX278"/>
    <mergeCell ref="A153:A155"/>
    <mergeCell ref="AK87:AK89"/>
    <mergeCell ref="AS144:AS146"/>
    <mergeCell ref="AZ9:AZ11"/>
    <mergeCell ref="BM192:BM194"/>
    <mergeCell ref="D189:D191"/>
    <mergeCell ref="AI24:AI26"/>
    <mergeCell ref="BJ183:BJ185"/>
    <mergeCell ref="BF198:BF200"/>
    <mergeCell ref="C333:C335"/>
    <mergeCell ref="AM186:AM188"/>
    <mergeCell ref="N39:N41"/>
    <mergeCell ref="BJ366:BJ368"/>
    <mergeCell ref="AW177:AW179"/>
    <mergeCell ref="X30:X32"/>
    <mergeCell ref="Z117:Z119"/>
    <mergeCell ref="AC156:AC158"/>
    <mergeCell ref="AR78:AR80"/>
    <mergeCell ref="AO33:AO35"/>
    <mergeCell ref="AZ336:AZ338"/>
    <mergeCell ref="AU114:AU116"/>
    <mergeCell ref="V138:V140"/>
    <mergeCell ref="C237:C239"/>
    <mergeCell ref="R159:R161"/>
    <mergeCell ref="A204:A206"/>
    <mergeCell ref="AF12:AF14"/>
    <mergeCell ref="AM6:AM8"/>
    <mergeCell ref="BG27:BG29"/>
    <mergeCell ref="D363:D365"/>
    <mergeCell ref="AI171:AI173"/>
    <mergeCell ref="R72:R74"/>
    <mergeCell ref="AI165:AI167"/>
    <mergeCell ref="BC63:BC65"/>
    <mergeCell ref="AI42:AI44"/>
    <mergeCell ref="BG327:BG329"/>
    <mergeCell ref="AQ99:AQ101"/>
    <mergeCell ref="AV225:AV227"/>
    <mergeCell ref="B144:B146"/>
    <mergeCell ref="V192:V194"/>
    <mergeCell ref="BK60:BK62"/>
    <mergeCell ref="X81:X83"/>
    <mergeCell ref="D60:D62"/>
    <mergeCell ref="BN219:BN221"/>
    <mergeCell ref="BK174:BK176"/>
    <mergeCell ref="BE279:BE281"/>
    <mergeCell ref="A207:A209"/>
    <mergeCell ref="AK141:AK143"/>
    <mergeCell ref="BK360:BK362"/>
    <mergeCell ref="K198:K200"/>
    <mergeCell ref="AU132:AU134"/>
    <mergeCell ref="BH315:BH317"/>
    <mergeCell ref="D360:D362"/>
    <mergeCell ref="AB201:AB203"/>
    <mergeCell ref="H180:H182"/>
    <mergeCell ref="AI168:AI170"/>
    <mergeCell ref="AN294:AN296"/>
    <mergeCell ref="AW48:AW50"/>
    <mergeCell ref="AS69:AS71"/>
    <mergeCell ref="AT195:AT197"/>
    <mergeCell ref="Z174:Z176"/>
    <mergeCell ref="Z168:Z170"/>
    <mergeCell ref="B318:B320"/>
    <mergeCell ref="P27:P29"/>
    <mergeCell ref="BK42:BK44"/>
    <mergeCell ref="AQ21:AQ23"/>
    <mergeCell ref="BN201:BN203"/>
    <mergeCell ref="AY114:AY116"/>
    <mergeCell ref="BI15:BI17"/>
    <mergeCell ref="V36:V38"/>
    <mergeCell ref="AP84:AP86"/>
    <mergeCell ref="C105:C107"/>
    <mergeCell ref="BL168:BL170"/>
    <mergeCell ref="AC324:AC326"/>
    <mergeCell ref="AI96:AI98"/>
    <mergeCell ref="BC111:BC113"/>
    <mergeCell ref="S204:S206"/>
    <mergeCell ref="AX12:AX14"/>
    <mergeCell ref="AS87:AS89"/>
    <mergeCell ref="AC201:AC203"/>
    <mergeCell ref="BC147:BC149"/>
    <mergeCell ref="P168:P170"/>
    <mergeCell ref="AU3:AU5"/>
    <mergeCell ref="BF306:BF308"/>
    <mergeCell ref="AX39:AX41"/>
    <mergeCell ref="AC228:AC230"/>
    <mergeCell ref="BL165:BL167"/>
    <mergeCell ref="AR144:AR146"/>
    <mergeCell ref="C195:C197"/>
    <mergeCell ref="C189:C191"/>
    <mergeCell ref="AK156:AK158"/>
    <mergeCell ref="BE204:BE206"/>
    <mergeCell ref="A276:A278"/>
    <mergeCell ref="AI123:AI125"/>
    <mergeCell ref="AY36:AY38"/>
    <mergeCell ref="BG93:BG95"/>
    <mergeCell ref="BF330:BF332"/>
    <mergeCell ref="AB135:AB137"/>
    <mergeCell ref="AJ219:AJ221"/>
    <mergeCell ref="B366:B368"/>
    <mergeCell ref="AD51:AD53"/>
    <mergeCell ref="AV297:AV299"/>
    <mergeCell ref="AI108:AI110"/>
    <mergeCell ref="BN258:BN260"/>
    <mergeCell ref="BK213:BK215"/>
    <mergeCell ref="BA66:BA68"/>
    <mergeCell ref="AK180:AK182"/>
    <mergeCell ref="Q159:Q161"/>
    <mergeCell ref="BA102:BA104"/>
    <mergeCell ref="BD225:BD227"/>
    <mergeCell ref="C336:C338"/>
    <mergeCell ref="BN285:BN287"/>
    <mergeCell ref="AH171:AH173"/>
    <mergeCell ref="X24:X26"/>
    <mergeCell ref="D3:D5"/>
    <mergeCell ref="A273:A275"/>
    <mergeCell ref="L60:L62"/>
    <mergeCell ref="Q186:Q188"/>
    <mergeCell ref="AU204:AU206"/>
    <mergeCell ref="H138:H140"/>
    <mergeCell ref="AK207:AK209"/>
    <mergeCell ref="J27:J29"/>
    <mergeCell ref="BJ120:BJ122"/>
    <mergeCell ref="BF327:BF329"/>
    <mergeCell ref="BM279:BM281"/>
    <mergeCell ref="A144:A146"/>
    <mergeCell ref="P66:P68"/>
    <mergeCell ref="C39:C41"/>
    <mergeCell ref="D303:D305"/>
    <mergeCell ref="BC159:BC161"/>
    <mergeCell ref="B270:B272"/>
    <mergeCell ref="P180:P182"/>
    <mergeCell ref="AT261:AT263"/>
    <mergeCell ref="BE48:BE50"/>
    <mergeCell ref="P93:P95"/>
    <mergeCell ref="AE15:AE17"/>
    <mergeCell ref="AJ141:AJ143"/>
    <mergeCell ref="AT138:AT140"/>
    <mergeCell ref="C366:C368"/>
    <mergeCell ref="G159:G161"/>
    <mergeCell ref="J198:J200"/>
    <mergeCell ref="C360:C362"/>
    <mergeCell ref="D30:D32"/>
    <mergeCell ref="AB6:AB8"/>
    <mergeCell ref="AH168:AH170"/>
    <mergeCell ref="BF9:BF11"/>
    <mergeCell ref="BI54:BI56"/>
    <mergeCell ref="H135:H137"/>
    <mergeCell ref="BL126:BL128"/>
    <mergeCell ref="AY21:AY23"/>
    <mergeCell ref="BI81:BI83"/>
    <mergeCell ref="AO60:AO62"/>
    <mergeCell ref="AS195:AS197"/>
    <mergeCell ref="AV327:AV329"/>
    <mergeCell ref="A291:A293"/>
    <mergeCell ref="BM330:BM332"/>
    <mergeCell ref="AF3:AF5"/>
    <mergeCell ref="BF345:BF347"/>
    <mergeCell ref="AL207:AL209"/>
    <mergeCell ref="BF222:BF224"/>
    <mergeCell ref="AI162:AI164"/>
    <mergeCell ref="AX84:AX86"/>
    <mergeCell ref="AV198:AV200"/>
    <mergeCell ref="AX78:AX80"/>
    <mergeCell ref="AS153:AS155"/>
    <mergeCell ref="AC267:AC269"/>
    <mergeCell ref="BM201:BM203"/>
    <mergeCell ref="BB363:BB365"/>
    <mergeCell ref="AO57:AO59"/>
    <mergeCell ref="BK147:BK149"/>
    <mergeCell ref="AJ159:AJ161"/>
    <mergeCell ref="BA27:BA29"/>
    <mergeCell ref="N48:N50"/>
    <mergeCell ref="L15:L17"/>
    <mergeCell ref="R177:R179"/>
    <mergeCell ref="H153:H155"/>
    <mergeCell ref="AZ144:AZ146"/>
    <mergeCell ref="AO42:AO44"/>
    <mergeCell ref="L129:L131"/>
    <mergeCell ref="A12:A14"/>
    <mergeCell ref="BG36:BG38"/>
    <mergeCell ref="AQ150:AQ152"/>
    <mergeCell ref="D171:D173"/>
    <mergeCell ref="AN105:AN107"/>
    <mergeCell ref="BN330:BN332"/>
    <mergeCell ref="BN324:BN326"/>
    <mergeCell ref="X63:X65"/>
    <mergeCell ref="D42:D44"/>
    <mergeCell ref="A312:A314"/>
    <mergeCell ref="BA168:BA170"/>
    <mergeCell ref="A348:A350"/>
    <mergeCell ref="BM45:BM47"/>
    <mergeCell ref="AS180:AS182"/>
    <mergeCell ref="H204:H206"/>
    <mergeCell ref="AI219:AI221"/>
    <mergeCell ref="AM12:AM14"/>
    <mergeCell ref="AX315:AX317"/>
    <mergeCell ref="AS210:AS212"/>
    <mergeCell ref="AU297:AU299"/>
    <mergeCell ref="AZ231:AZ233"/>
    <mergeCell ref="Y72:Y74"/>
    <mergeCell ref="BE288:BE290"/>
    <mergeCell ref="A216:A218"/>
    <mergeCell ref="BM345:BM347"/>
    <mergeCell ref="AC321:AC323"/>
    <mergeCell ref="P132:P134"/>
    <mergeCell ref="AF18:AF20"/>
    <mergeCell ref="BE6:BE8"/>
    <mergeCell ref="AN9:AN11"/>
    <mergeCell ref="BD351:BD353"/>
    <mergeCell ref="W24:W26"/>
    <mergeCell ref="AY129:AY131"/>
    <mergeCell ref="Z183:Z185"/>
    <mergeCell ref="AO105:AO107"/>
    <mergeCell ref="BI120:BI122"/>
    <mergeCell ref="L186:L188"/>
    <mergeCell ref="BL279:BL281"/>
    <mergeCell ref="B39:B41"/>
    <mergeCell ref="A243:A245"/>
    <mergeCell ref="L30:L32"/>
    <mergeCell ref="Y219:Y221"/>
    <mergeCell ref="BN45:BN47"/>
    <mergeCell ref="AI114:AI116"/>
    <mergeCell ref="AD15:AD17"/>
    <mergeCell ref="BF294:BF296"/>
    <mergeCell ref="B339:B341"/>
    <mergeCell ref="BA195:BA197"/>
    <mergeCell ref="AU27:AU29"/>
    <mergeCell ref="BA189:BA191"/>
    <mergeCell ref="AQ165:AQ167"/>
    <mergeCell ref="AC333:AC335"/>
    <mergeCell ref="AX186:AX188"/>
    <mergeCell ref="BD348:BD350"/>
    <mergeCell ref="AN39:AN41"/>
    <mergeCell ref="C300:C302"/>
    <mergeCell ref="N87:N89"/>
    <mergeCell ref="X147:X149"/>
    <mergeCell ref="BB183:BB185"/>
    <mergeCell ref="AC36:AC38"/>
    <mergeCell ref="AW84:AW86"/>
    <mergeCell ref="AR159:AR161"/>
    <mergeCell ref="BB219:BB221"/>
    <mergeCell ref="BM6:BM8"/>
    <mergeCell ref="BG75:BG77"/>
    <mergeCell ref="C3:C5"/>
    <mergeCell ref="AD162:AD164"/>
    <mergeCell ref="BN96:BN98"/>
    <mergeCell ref="BJ117:BJ119"/>
    <mergeCell ref="R120:R122"/>
    <mergeCell ref="T15:T17"/>
    <mergeCell ref="Z177:Z179"/>
    <mergeCell ref="AO300:AO302"/>
    <mergeCell ref="D123:D125"/>
    <mergeCell ref="AC336:AC338"/>
    <mergeCell ref="AD33:AD35"/>
    <mergeCell ref="BG102:BG104"/>
    <mergeCell ref="B357:B359"/>
    <mergeCell ref="D237:D239"/>
    <mergeCell ref="BM306:BM308"/>
    <mergeCell ref="BD276:BD278"/>
    <mergeCell ref="BK108:BK110"/>
    <mergeCell ref="AH195:AH197"/>
    <mergeCell ref="N174:N176"/>
    <mergeCell ref="D108:D110"/>
    <mergeCell ref="AV105:AV107"/>
    <mergeCell ref="AY144:AY146"/>
    <mergeCell ref="BN267:BN269"/>
    <mergeCell ref="BM3:BM5"/>
    <mergeCell ref="X165:X167"/>
    <mergeCell ref="D27:D29"/>
    <mergeCell ref="A255:A257"/>
    <mergeCell ref="V102:V104"/>
    <mergeCell ref="J9:J11"/>
    <mergeCell ref="BN93:BN95"/>
    <mergeCell ref="C171:C173"/>
    <mergeCell ref="BI168:BI170"/>
    <mergeCell ref="AC54:AC56"/>
    <mergeCell ref="D327:D329"/>
    <mergeCell ref="AW15:AW17"/>
    <mergeCell ref="P204:P206"/>
    <mergeCell ref="AZ138:AZ140"/>
    <mergeCell ref="J36:J38"/>
    <mergeCell ref="AK51:AK53"/>
    <mergeCell ref="BE72:BE74"/>
    <mergeCell ref="BC297:BC299"/>
    <mergeCell ref="BF336:BF338"/>
    <mergeCell ref="BH231:BH233"/>
    <mergeCell ref="BM288:BM290"/>
    <mergeCell ref="AB111:AB113"/>
    <mergeCell ref="P75:P77"/>
    <mergeCell ref="X132:X134"/>
    <mergeCell ref="AV9:AV11"/>
    <mergeCell ref="BI192:BI194"/>
    <mergeCell ref="AO171:AO173"/>
    <mergeCell ref="BL351:BL353"/>
    <mergeCell ref="AE24:AE26"/>
    <mergeCell ref="BL345:BL347"/>
    <mergeCell ref="BG129:BG131"/>
    <mergeCell ref="C375:C377"/>
    <mergeCell ref="BI63:BI65"/>
    <mergeCell ref="BB198:BB200"/>
    <mergeCell ref="A342:A344"/>
    <mergeCell ref="AC105:AC107"/>
    <mergeCell ref="L6:L8"/>
    <mergeCell ref="BN111:BN113"/>
    <mergeCell ref="J39:J41"/>
    <mergeCell ref="AD81:AD83"/>
    <mergeCell ref="BD306:BD308"/>
    <mergeCell ref="AN78:AN80"/>
    <mergeCell ref="T57:T59"/>
    <mergeCell ref="AS204:AS206"/>
    <mergeCell ref="BC201:BC203"/>
    <mergeCell ref="R138:R140"/>
    <mergeCell ref="A39:A41"/>
    <mergeCell ref="C372:C374"/>
    <mergeCell ref="N159:N161"/>
    <mergeCell ref="Q198:Q200"/>
    <mergeCell ref="BC27:BC29"/>
    <mergeCell ref="N153:N155"/>
    <mergeCell ref="AI6:AI8"/>
    <mergeCell ref="AH210:AH212"/>
    <mergeCell ref="N189:N191"/>
    <mergeCell ref="N72:N74"/>
    <mergeCell ref="BM18:BM20"/>
    <mergeCell ref="BE294:BE296"/>
    <mergeCell ref="A339:A341"/>
    <mergeCell ref="L126:L128"/>
    <mergeCell ref="AZ195:AZ197"/>
    <mergeCell ref="J93:J95"/>
    <mergeCell ref="BC327:BC329"/>
    <mergeCell ref="R192:R194"/>
    <mergeCell ref="W126:W128"/>
    <mergeCell ref="AM39:AM41"/>
    <mergeCell ref="BG60:BG62"/>
    <mergeCell ref="D195:D197"/>
    <mergeCell ref="BJ219:BJ221"/>
    <mergeCell ref="AW30:AW32"/>
    <mergeCell ref="AD105:AD107"/>
    <mergeCell ref="BD288:BD290"/>
    <mergeCell ref="AX120:AX122"/>
    <mergeCell ref="AD99:AD101"/>
    <mergeCell ref="BA279:BA281"/>
    <mergeCell ref="D66:D68"/>
    <mergeCell ref="A21:A23"/>
    <mergeCell ref="AB36:AB38"/>
    <mergeCell ref="AQ132:AQ134"/>
    <mergeCell ref="AQ159:AQ161"/>
    <mergeCell ref="BK180:BK182"/>
    <mergeCell ref="A57:A59"/>
    <mergeCell ref="D180:D182"/>
    <mergeCell ref="AS48:AS50"/>
    <mergeCell ref="AC162:AC164"/>
    <mergeCell ref="BN333:BN335"/>
    <mergeCell ref="AZ342:AZ344"/>
    <mergeCell ref="AM153:AM155"/>
    <mergeCell ref="BL276:BL278"/>
    <mergeCell ref="AY87:AY89"/>
    <mergeCell ref="AP195:AP197"/>
    <mergeCell ref="V174:V176"/>
    <mergeCell ref="V168:V170"/>
    <mergeCell ref="J75:J77"/>
    <mergeCell ref="A357:A359"/>
    <mergeCell ref="C87:C89"/>
    <mergeCell ref="AM21:AM23"/>
    <mergeCell ref="BN36:BN38"/>
    <mergeCell ref="A24:A26"/>
    <mergeCell ref="AB183:AB185"/>
    <mergeCell ref="BL117:BL119"/>
    <mergeCell ref="Z207:Z209"/>
    <mergeCell ref="BE15:BE17"/>
    <mergeCell ref="AS51:AS53"/>
    <mergeCell ref="B150:B152"/>
    <mergeCell ref="AL84:AL86"/>
    <mergeCell ref="AC366:AC368"/>
    <mergeCell ref="AO123:AO125"/>
    <mergeCell ref="BH168:BH170"/>
    <mergeCell ref="E309:E311"/>
    <mergeCell ref="AB54:AB56"/>
    <mergeCell ref="AH135:AH137"/>
    <mergeCell ref="B21:B23"/>
    <mergeCell ref="O204:O206"/>
    <mergeCell ref="AT12:AT14"/>
    <mergeCell ref="BD72:BD74"/>
    <mergeCell ref="AW171:AW173"/>
    <mergeCell ref="L195:L197"/>
    <mergeCell ref="AU138:AU140"/>
    <mergeCell ref="BB306:BB308"/>
    <mergeCell ref="BL288:BL290"/>
    <mergeCell ref="V96:V98"/>
    <mergeCell ref="AQ189:AQ191"/>
    <mergeCell ref="AU9:AU11"/>
    <mergeCell ref="D210:D212"/>
    <mergeCell ref="AN144:AN146"/>
    <mergeCell ref="BN369:BN371"/>
    <mergeCell ref="BK351:BK353"/>
    <mergeCell ref="AG156:AG158"/>
    <mergeCell ref="BA204:BA206"/>
    <mergeCell ref="A42:A44"/>
    <mergeCell ref="AU36:AU38"/>
    <mergeCell ref="H57:H59"/>
    <mergeCell ref="BB330:BB332"/>
    <mergeCell ref="BM117:BM119"/>
    <mergeCell ref="BM111:BM113"/>
    <mergeCell ref="AC60:AC62"/>
    <mergeCell ref="X162:X164"/>
    <mergeCell ref="X156:X158"/>
    <mergeCell ref="L63:L65"/>
    <mergeCell ref="Z51:Z53"/>
    <mergeCell ref="AH153:AH155"/>
    <mergeCell ref="AM78:AM80"/>
    <mergeCell ref="BM294:BM296"/>
    <mergeCell ref="B372:B374"/>
    <mergeCell ref="M159:M161"/>
    <mergeCell ref="AC45:AC47"/>
    <mergeCell ref="W219:W221"/>
    <mergeCell ref="AW102:AW104"/>
    <mergeCell ref="AD171:AD173"/>
    <mergeCell ref="BE186:BE188"/>
    <mergeCell ref="BL18:BL20"/>
    <mergeCell ref="AY168:AY170"/>
    <mergeCell ref="AD42:AD44"/>
    <mergeCell ref="BB327:BB329"/>
    <mergeCell ref="P45:P47"/>
    <mergeCell ref="L66:L68"/>
    <mergeCell ref="AY159:AY161"/>
    <mergeCell ref="AC78:AC80"/>
    <mergeCell ref="BC288:BC290"/>
    <mergeCell ref="BI219:BI221"/>
    <mergeCell ref="BM12:BM14"/>
    <mergeCell ref="AZ279:AZ281"/>
    <mergeCell ref="L93:L95"/>
    <mergeCell ref="V111:V113"/>
    <mergeCell ref="AK33:AK35"/>
    <mergeCell ref="X6:X8"/>
    <mergeCell ref="AD168:AD170"/>
    <mergeCell ref="C180:C182"/>
    <mergeCell ref="AC378:AC380"/>
    <mergeCell ref="H114:H116"/>
    <mergeCell ref="BE54:BE56"/>
    <mergeCell ref="D135:D137"/>
    <mergeCell ref="R15:R17"/>
    <mergeCell ref="BH126:BH128"/>
    <mergeCell ref="AB12:AB14"/>
    <mergeCell ref="BE81:BE83"/>
    <mergeCell ref="AO195:AO197"/>
    <mergeCell ref="A126:A128"/>
    <mergeCell ref="AK60:AK62"/>
    <mergeCell ref="BI333:BI335"/>
    <mergeCell ref="BB345:BB347"/>
    <mergeCell ref="AH207:AH209"/>
    <mergeCell ref="U18:U20"/>
    <mergeCell ref="AW123:AW125"/>
    <mergeCell ref="B87:B89"/>
    <mergeCell ref="AC102:AC104"/>
    <mergeCell ref="BI201:BI203"/>
    <mergeCell ref="AO180:AO182"/>
    <mergeCell ref="BN135:BN137"/>
    <mergeCell ref="C213:C215"/>
    <mergeCell ref="T81:T83"/>
    <mergeCell ref="W204:W206"/>
    <mergeCell ref="AG3:AG128"/>
    <mergeCell ref="BL72:BL74"/>
    <mergeCell ref="A150:A152"/>
    <mergeCell ref="BG147:BG149"/>
    <mergeCell ref="BG174:BG176"/>
    <mergeCell ref="D309:D311"/>
    <mergeCell ref="AU75:AU77"/>
    <mergeCell ref="J48:J50"/>
    <mergeCell ref="AD96:AD98"/>
    <mergeCell ref="AX117:AX119"/>
    <mergeCell ref="H15:H17"/>
    <mergeCell ref="N177:N179"/>
    <mergeCell ref="BD315:BD317"/>
    <mergeCell ref="D153:D155"/>
    <mergeCell ref="X201:X203"/>
    <mergeCell ref="BC9:BC11"/>
    <mergeCell ref="BM69:BM71"/>
    <mergeCell ref="R33:R35"/>
    <mergeCell ref="Z90:Z92"/>
    <mergeCell ref="AC249:AC251"/>
    <mergeCell ref="BM183:BM185"/>
    <mergeCell ref="BC36:BC38"/>
    <mergeCell ref="AM150:AM152"/>
    <mergeCell ref="C210:C212"/>
    <mergeCell ref="AJ105:AJ107"/>
    <mergeCell ref="BJ330:BJ332"/>
    <mergeCell ref="AP309:AP311"/>
    <mergeCell ref="AC3:AC5"/>
    <mergeCell ref="AP186:AP188"/>
    <mergeCell ref="AF156:AF158"/>
    <mergeCell ref="T63:T65"/>
    <mergeCell ref="AU78:AU80"/>
    <mergeCell ref="J102:J104"/>
    <mergeCell ref="AS159:AS161"/>
    <mergeCell ref="AB60:AB62"/>
    <mergeCell ref="H39:H41"/>
    <mergeCell ref="C114:C116"/>
    <mergeCell ref="D204:D206"/>
    <mergeCell ref="R30:R32"/>
    <mergeCell ref="AB174:AB176"/>
    <mergeCell ref="AO210:AO212"/>
    <mergeCell ref="U72:U74"/>
    <mergeCell ref="AV231:AV233"/>
    <mergeCell ref="BD333:BD335"/>
    <mergeCell ref="AY111:AY113"/>
    <mergeCell ref="BA6:BA8"/>
    <mergeCell ref="L132:L134"/>
    <mergeCell ref="BG168:BG170"/>
    <mergeCell ref="A381:A383"/>
    <mergeCell ref="L168:L170"/>
    <mergeCell ref="BK24:BK26"/>
    <mergeCell ref="AC171:AC173"/>
    <mergeCell ref="BK18:BK20"/>
    <mergeCell ref="AZ351:AZ353"/>
    <mergeCell ref="AD126:AD128"/>
    <mergeCell ref="AT39:AT41"/>
    <mergeCell ref="C138:C140"/>
    <mergeCell ref="BN60:BN62"/>
    <mergeCell ref="AU129:AU131"/>
    <mergeCell ref="V183:V185"/>
    <mergeCell ref="AK105:AK107"/>
    <mergeCell ref="AW63:AW65"/>
    <mergeCell ref="BA327:BA329"/>
    <mergeCell ref="AK99:AK101"/>
    <mergeCell ref="BE120:BE122"/>
    <mergeCell ref="H186:H188"/>
    <mergeCell ref="BK51:BK53"/>
    <mergeCell ref="BH279:BH281"/>
    <mergeCell ref="AN141:AN143"/>
    <mergeCell ref="AL225:AL227"/>
    <mergeCell ref="BN360:BN362"/>
    <mergeCell ref="AD111:AD113"/>
    <mergeCell ref="H30:H32"/>
    <mergeCell ref="AB78:AB80"/>
    <mergeCell ref="BC93:BC95"/>
    <mergeCell ref="BL12:BL14"/>
    <mergeCell ref="Z15:Z17"/>
    <mergeCell ref="AO138:AO140"/>
    <mergeCell ref="AW195:AW197"/>
    <mergeCell ref="B159:B161"/>
    <mergeCell ref="AC174:AC176"/>
    <mergeCell ref="AO132:AO134"/>
    <mergeCell ref="AA141:AA143"/>
    <mergeCell ref="AQ27:AQ29"/>
    <mergeCell ref="AW189:AW191"/>
    <mergeCell ref="AM165:AM167"/>
    <mergeCell ref="V210:V212"/>
    <mergeCell ref="AT186:AT188"/>
    <mergeCell ref="AZ348:AZ350"/>
    <mergeCell ref="AW66:AW68"/>
    <mergeCell ref="AJ39:AJ41"/>
    <mergeCell ref="J87:J89"/>
    <mergeCell ref="T147:T149"/>
    <mergeCell ref="D261:D263"/>
    <mergeCell ref="BN78:BN80"/>
    <mergeCell ref="D375:D377"/>
    <mergeCell ref="A66:A68"/>
    <mergeCell ref="AS84:AS86"/>
    <mergeCell ref="AN159:AN161"/>
    <mergeCell ref="AQ198:AQ200"/>
    <mergeCell ref="BF120:BF122"/>
    <mergeCell ref="BI6:BI8"/>
    <mergeCell ref="BC75:BC77"/>
    <mergeCell ref="AI54:AI56"/>
    <mergeCell ref="BN378:BN380"/>
    <mergeCell ref="N120:N122"/>
    <mergeCell ref="BK72:BK74"/>
    <mergeCell ref="AP261:AP263"/>
    <mergeCell ref="Z33:Z35"/>
    <mergeCell ref="C282:C284"/>
    <mergeCell ref="BN231:BN233"/>
    <mergeCell ref="AC69:AC71"/>
    <mergeCell ref="AZ276:AZ278"/>
    <mergeCell ref="C153:C155"/>
    <mergeCell ref="AD195:AD197"/>
    <mergeCell ref="J174:J176"/>
    <mergeCell ref="AM87:AM89"/>
    <mergeCell ref="AU144:AU146"/>
    <mergeCell ref="BB9:BB11"/>
    <mergeCell ref="BG108:BG110"/>
    <mergeCell ref="AC369:AC371"/>
    <mergeCell ref="B189:B191"/>
    <mergeCell ref="R102:R104"/>
    <mergeCell ref="BI330:BI332"/>
    <mergeCell ref="AB3:AB5"/>
    <mergeCell ref="BC162:BC164"/>
    <mergeCell ref="BK219:BK221"/>
    <mergeCell ref="AY183:AY185"/>
    <mergeCell ref="AY177:AY179"/>
    <mergeCell ref="Z30:Z32"/>
    <mergeCell ref="AB117:AB119"/>
    <mergeCell ref="AO153:AO155"/>
    <mergeCell ref="AY297:AY299"/>
    <mergeCell ref="BB336:BB338"/>
    <mergeCell ref="BK90:BK92"/>
    <mergeCell ref="P54:P56"/>
    <mergeCell ref="BN213:BN215"/>
    <mergeCell ref="X111:X113"/>
    <mergeCell ref="V141:V143"/>
    <mergeCell ref="L75:L77"/>
    <mergeCell ref="V135:V137"/>
    <mergeCell ref="BN126:BN128"/>
    <mergeCell ref="AR9:AR11"/>
    <mergeCell ref="A237:A239"/>
    <mergeCell ref="AK171:AK173"/>
    <mergeCell ref="AE3:AE5"/>
    <mergeCell ref="BH351:BH353"/>
    <mergeCell ref="BN3:BN5"/>
    <mergeCell ref="AA24:AA26"/>
    <mergeCell ref="BE222:BE224"/>
    <mergeCell ref="BH345:BH347"/>
    <mergeCell ref="BE63:BE65"/>
    <mergeCell ref="A108:A110"/>
    <mergeCell ref="AB150:AB152"/>
    <mergeCell ref="H129:H131"/>
    <mergeCell ref="AI9:AI11"/>
    <mergeCell ref="P186:P188"/>
    <mergeCell ref="AQ66:AQ68"/>
    <mergeCell ref="AS99:AS101"/>
    <mergeCell ref="AC126:AC128"/>
    <mergeCell ref="BM60:BM62"/>
    <mergeCell ref="Z81:Z83"/>
    <mergeCell ref="AB21:AB23"/>
    <mergeCell ref="AZ306:AZ308"/>
    <mergeCell ref="AJ78:AJ80"/>
    <mergeCell ref="P57:P59"/>
    <mergeCell ref="B225:B227"/>
    <mergeCell ref="AC240:AC242"/>
    <mergeCell ref="AY201:AY203"/>
    <mergeCell ref="BG279:BG281"/>
    <mergeCell ref="C207:C209"/>
    <mergeCell ref="M198:M200"/>
    <mergeCell ref="AA84:AA86"/>
    <mergeCell ref="AW132:AW134"/>
    <mergeCell ref="AD210:AD212"/>
    <mergeCell ref="BI45:BI47"/>
    <mergeCell ref="T90:T92"/>
    <mergeCell ref="AI12:AI14"/>
    <mergeCell ref="AB147:AB149"/>
    <mergeCell ref="AV195:AV197"/>
    <mergeCell ref="A159:A161"/>
    <mergeCell ref="AS150:AS152"/>
    <mergeCell ref="D318:D320"/>
    <mergeCell ref="BM207:BM209"/>
    <mergeCell ref="AS186:AS188"/>
    <mergeCell ref="BI345:BI347"/>
    <mergeCell ref="AB18:AB20"/>
    <mergeCell ref="BC60:BC62"/>
    <mergeCell ref="AI39:AI41"/>
    <mergeCell ref="AC108:AC110"/>
    <mergeCell ref="BC177:BC179"/>
    <mergeCell ref="BM84:BM86"/>
    <mergeCell ref="BF219:BF221"/>
    <mergeCell ref="AS30:AS32"/>
    <mergeCell ref="Z105:Z107"/>
    <mergeCell ref="AC144:AC146"/>
    <mergeCell ref="C354:C356"/>
    <mergeCell ref="Z99:Z101"/>
    <mergeCell ref="J213:J215"/>
    <mergeCell ref="C348:C350"/>
    <mergeCell ref="BA114:BA116"/>
    <mergeCell ref="BM78:BM80"/>
    <mergeCell ref="AW279:AW281"/>
    <mergeCell ref="BK15:BK17"/>
    <mergeCell ref="X36:X38"/>
    <mergeCell ref="BG180:BG182"/>
    <mergeCell ref="C225:C227"/>
    <mergeCell ref="AM159:AM161"/>
    <mergeCell ref="BL141:BL143"/>
    <mergeCell ref="AO48:AO50"/>
    <mergeCell ref="AU87:AU89"/>
    <mergeCell ref="R174:R176"/>
    <mergeCell ref="BE147:BE149"/>
    <mergeCell ref="R168:R170"/>
    <mergeCell ref="B282:B284"/>
    <mergeCell ref="AB165:AB167"/>
    <mergeCell ref="C273:C275"/>
    <mergeCell ref="R45:R47"/>
    <mergeCell ref="BN165:BN167"/>
    <mergeCell ref="D48:D50"/>
    <mergeCell ref="AQ105:AQ107"/>
    <mergeCell ref="A3:A5"/>
    <mergeCell ref="BK162:BK164"/>
    <mergeCell ref="BA15:BA17"/>
    <mergeCell ref="A189:A191"/>
    <mergeCell ref="C276:C278"/>
    <mergeCell ref="AK123:AK125"/>
    <mergeCell ref="AU120:AU122"/>
    <mergeCell ref="BI93:BI95"/>
    <mergeCell ref="BD168:BD170"/>
    <mergeCell ref="D348:D350"/>
    <mergeCell ref="X54:X56"/>
    <mergeCell ref="BK33:BK35"/>
    <mergeCell ref="A303:A305"/>
    <mergeCell ref="AD135:AD137"/>
    <mergeCell ref="J114:J116"/>
    <mergeCell ref="AX183:AX185"/>
    <mergeCell ref="H81:H83"/>
    <mergeCell ref="K204:K206"/>
    <mergeCell ref="AZ72:AZ74"/>
    <mergeCell ref="AX297:AX299"/>
    <mergeCell ref="AK108:AK110"/>
    <mergeCell ref="H195:H197"/>
    <mergeCell ref="AQ138:AQ140"/>
    <mergeCell ref="BK333:BK335"/>
    <mergeCell ref="BH288:BH290"/>
    <mergeCell ref="A93:A95"/>
    <mergeCell ref="BM222:BM224"/>
    <mergeCell ref="B300:B302"/>
    <mergeCell ref="E342:E344"/>
    <mergeCell ref="AM189:AM191"/>
    <mergeCell ref="L201:L203"/>
    <mergeCell ref="E336:E338"/>
    <mergeCell ref="AQ9:AQ11"/>
    <mergeCell ref="AR315:AR317"/>
    <mergeCell ref="BC102:BC104"/>
    <mergeCell ref="AK126:AK128"/>
    <mergeCell ref="Z24:Z26"/>
    <mergeCell ref="J138:J140"/>
    <mergeCell ref="AY6:AY8"/>
    <mergeCell ref="AW204:AW206"/>
    <mergeCell ref="L27:L29"/>
    <mergeCell ref="AC183:AC185"/>
    <mergeCell ref="BK30:BK32"/>
    <mergeCell ref="BL120:BL122"/>
    <mergeCell ref="V18:V20"/>
    <mergeCell ref="AX330:AX332"/>
    <mergeCell ref="BI117:BI119"/>
    <mergeCell ref="D276:D278"/>
    <mergeCell ref="D243:D245"/>
    <mergeCell ref="AY306:AY308"/>
    <mergeCell ref="D270:D272"/>
    <mergeCell ref="H63:H65"/>
    <mergeCell ref="AI78:AI80"/>
    <mergeCell ref="AV261:AV263"/>
    <mergeCell ref="AX201:AX203"/>
    <mergeCell ref="BG48:BG50"/>
    <mergeCell ref="AC339:AC341"/>
    <mergeCell ref="AV138:AV140"/>
    <mergeCell ref="E339:E341"/>
    <mergeCell ref="BA72:BA74"/>
    <mergeCell ref="I159:I161"/>
    <mergeCell ref="L198:L200"/>
    <mergeCell ref="BD195:BD197"/>
    <mergeCell ref="AD6:AD8"/>
    <mergeCell ref="BM150:BM152"/>
    <mergeCell ref="Z171:Z173"/>
    <mergeCell ref="AC210:AC212"/>
    <mergeCell ref="BA186:BA188"/>
    <mergeCell ref="BH18:BH20"/>
    <mergeCell ref="AO87:AO89"/>
    <mergeCell ref="AU168:AU170"/>
    <mergeCell ref="BE192:BE194"/>
    <mergeCell ref="AX327:AX329"/>
    <mergeCell ref="C291:C293"/>
    <mergeCell ref="AY24:AY26"/>
    <mergeCell ref="L45:L47"/>
    <mergeCell ref="H66:H68"/>
    <mergeCell ref="R126:R128"/>
    <mergeCell ref="AX198:AX200"/>
    <mergeCell ref="AY288:AY290"/>
    <mergeCell ref="Y105:Y107"/>
    <mergeCell ref="B354:B356"/>
    <mergeCell ref="AQ153:AQ155"/>
    <mergeCell ref="AV279:AV281"/>
    <mergeCell ref="B198:B200"/>
    <mergeCell ref="R111:R113"/>
    <mergeCell ref="BA54:BA56"/>
    <mergeCell ref="BM147:BM149"/>
    <mergeCell ref="AQ93:AQ95"/>
    <mergeCell ref="D114:D116"/>
    <mergeCell ref="BN273:BN275"/>
    <mergeCell ref="N15:N17"/>
    <mergeCell ref="BD126:BD128"/>
    <mergeCell ref="X12:X14"/>
    <mergeCell ref="J153:J155"/>
    <mergeCell ref="A261:A263"/>
    <mergeCell ref="AK195:AK197"/>
    <mergeCell ref="BK105:BK107"/>
    <mergeCell ref="BK99:BK101"/>
    <mergeCell ref="AM42:AM44"/>
    <mergeCell ref="AX345:AX347"/>
    <mergeCell ref="Q18:Q20"/>
    <mergeCell ref="A132:A134"/>
    <mergeCell ref="AK66:AK68"/>
    <mergeCell ref="AS123:AS125"/>
    <mergeCell ref="AN225:AN227"/>
    <mergeCell ref="A246:A248"/>
    <mergeCell ref="BF183:BF185"/>
    <mergeCell ref="P81:P83"/>
    <mergeCell ref="AC264:AC266"/>
    <mergeCell ref="BC174:BC176"/>
    <mergeCell ref="AT120:AT122"/>
    <mergeCell ref="BC168:BC170"/>
    <mergeCell ref="AQ75:AQ77"/>
    <mergeCell ref="BM165:BM167"/>
    <mergeCell ref="BN255:BN257"/>
    <mergeCell ref="Z96:Z98"/>
    <mergeCell ref="AC135:AC137"/>
    <mergeCell ref="AO12:AO14"/>
    <mergeCell ref="AZ315:AZ317"/>
    <mergeCell ref="T201:T203"/>
    <mergeCell ref="BI69:BI71"/>
    <mergeCell ref="N33:N35"/>
    <mergeCell ref="BB231:BB233"/>
    <mergeCell ref="B69:B71"/>
    <mergeCell ref="V117:V119"/>
    <mergeCell ref="AP138:AP140"/>
    <mergeCell ref="Q192:Q194"/>
    <mergeCell ref="BF24:BF26"/>
    <mergeCell ref="BG288:BG290"/>
    <mergeCell ref="AS297:AS299"/>
    <mergeCell ref="BL222:BL224"/>
    <mergeCell ref="BG6:BG8"/>
    <mergeCell ref="D342:D344"/>
    <mergeCell ref="AI150:AI152"/>
    <mergeCell ref="Y120:Y122"/>
    <mergeCell ref="AC255:AC257"/>
    <mergeCell ref="BF351:BF353"/>
    <mergeCell ref="AU57:AU59"/>
    <mergeCell ref="AI21:AI23"/>
    <mergeCell ref="AB156:AB158"/>
    <mergeCell ref="AQ78:AQ80"/>
    <mergeCell ref="BG306:BG308"/>
    <mergeCell ref="Z123:Z125"/>
    <mergeCell ref="B123:B125"/>
    <mergeCell ref="AC282:AC284"/>
    <mergeCell ref="AW330:AW332"/>
    <mergeCell ref="BH117:BH119"/>
    <mergeCell ref="AR198:AR200"/>
    <mergeCell ref="X177:X179"/>
    <mergeCell ref="X60:X62"/>
    <mergeCell ref="D39:D41"/>
    <mergeCell ref="C243:C245"/>
    <mergeCell ref="N30:N32"/>
    <mergeCell ref="AA219:AA221"/>
    <mergeCell ref="C363:C365"/>
    <mergeCell ref="AK210:AK212"/>
    <mergeCell ref="AR231:AR233"/>
    <mergeCell ref="AU111:AU113"/>
    <mergeCell ref="AI147:AI149"/>
    <mergeCell ref="AB180:AB182"/>
    <mergeCell ref="AW27:AW29"/>
    <mergeCell ref="H168:H170"/>
    <mergeCell ref="BG24:BG26"/>
    <mergeCell ref="T45:T47"/>
    <mergeCell ref="AZ186:AZ188"/>
    <mergeCell ref="BG18:BG20"/>
    <mergeCell ref="R69:R71"/>
    <mergeCell ref="Z126:Z128"/>
    <mergeCell ref="AP39:AP41"/>
    <mergeCell ref="BM219:BM221"/>
    <mergeCell ref="B297:B299"/>
    <mergeCell ref="AJ144:AJ146"/>
    <mergeCell ref="P6:P8"/>
    <mergeCell ref="B291:B293"/>
    <mergeCell ref="AW327:AW329"/>
    <mergeCell ref="D186:D188"/>
    <mergeCell ref="BD279:BD281"/>
    <mergeCell ref="BN339:BN341"/>
    <mergeCell ref="BN180:BN182"/>
    <mergeCell ref="AT159:AT161"/>
    <mergeCell ref="X78:X80"/>
    <mergeCell ref="D57:D59"/>
    <mergeCell ref="AY93:AY95"/>
    <mergeCell ref="L114:L116"/>
    <mergeCell ref="A354:A356"/>
    <mergeCell ref="BN216:BN218"/>
    <mergeCell ref="BN210:BN212"/>
    <mergeCell ref="V15:V17"/>
    <mergeCell ref="AK138:AK140"/>
    <mergeCell ref="C84:C86"/>
    <mergeCell ref="BM333:BM335"/>
    <mergeCell ref="A198:A200"/>
    <mergeCell ref="V51:V53"/>
    <mergeCell ref="H219:H221"/>
    <mergeCell ref="W141:W143"/>
    <mergeCell ref="D357:D359"/>
    <mergeCell ref="AW45:AW47"/>
    <mergeCell ref="AS66:AS68"/>
    <mergeCell ref="BC126:BC128"/>
    <mergeCell ref="P147:P149"/>
    <mergeCell ref="BJ78:BJ80"/>
    <mergeCell ref="AC207:AC209"/>
    <mergeCell ref="P18:P20"/>
    <mergeCell ref="AO84:AO86"/>
    <mergeCell ref="AM198:AM200"/>
    <mergeCell ref="BB120:BB122"/>
    <mergeCell ref="Q144:Q146"/>
    <mergeCell ref="BI135:BI137"/>
    <mergeCell ref="AO114:AO116"/>
    <mergeCell ref="AC21:AC23"/>
    <mergeCell ref="BL294:BL296"/>
    <mergeCell ref="A372:A374"/>
    <mergeCell ref="AY15:AY17"/>
    <mergeCell ref="BG72:BG74"/>
    <mergeCell ref="AM51:AM53"/>
    <mergeCell ref="BI12:BI14"/>
    <mergeCell ref="B327:B329"/>
    <mergeCell ref="V33:V35"/>
    <mergeCell ref="AL261:AL263"/>
    <mergeCell ref="BJ231:BJ233"/>
    <mergeCell ref="AS117:AS119"/>
    <mergeCell ref="C15:C17"/>
    <mergeCell ref="AV276:AV278"/>
    <mergeCell ref="AI87:AI89"/>
    <mergeCell ref="AX9:AX11"/>
    <mergeCell ref="BC108:BC110"/>
    <mergeCell ref="BK192:BK194"/>
    <mergeCell ref="A69:A71"/>
    <mergeCell ref="BN351:BN353"/>
    <mergeCell ref="BH183:BH185"/>
    <mergeCell ref="BA81:BA83"/>
    <mergeCell ref="C315:C317"/>
    <mergeCell ref="N102:N104"/>
    <mergeCell ref="AH150:AH152"/>
    <mergeCell ref="BB288:BB290"/>
    <mergeCell ref="BN264:BN266"/>
    <mergeCell ref="BE330:BE332"/>
    <mergeCell ref="A375:A377"/>
    <mergeCell ref="X3:X5"/>
    <mergeCell ref="A369:A371"/>
    <mergeCell ref="A252:A254"/>
    <mergeCell ref="L39:L41"/>
    <mergeCell ref="AU300:AU302"/>
    <mergeCell ref="AU183:AU185"/>
    <mergeCell ref="AU177:AU179"/>
    <mergeCell ref="V30:V32"/>
    <mergeCell ref="AP78:AP80"/>
    <mergeCell ref="BE201:BE203"/>
    <mergeCell ref="AX336:AX338"/>
    <mergeCell ref="BG90:BG92"/>
    <mergeCell ref="L54:L56"/>
    <mergeCell ref="H75:H77"/>
    <mergeCell ref="BE27:BE29"/>
    <mergeCell ref="B363:B365"/>
    <mergeCell ref="BA222:BA224"/>
    <mergeCell ref="L72:L74"/>
    <mergeCell ref="BA63:BA65"/>
    <mergeCell ref="BE327:BE329"/>
    <mergeCell ref="D129:D131"/>
    <mergeCell ref="AE9:AE11"/>
    <mergeCell ref="AO99:AO101"/>
    <mergeCell ref="AP225:AP227"/>
    <mergeCell ref="Y126:Y128"/>
    <mergeCell ref="BI60:BI62"/>
    <mergeCell ref="AV306:AV308"/>
    <mergeCell ref="A270:A272"/>
    <mergeCell ref="L57:L59"/>
    <mergeCell ref="P192:P194"/>
    <mergeCell ref="AC375:AC377"/>
    <mergeCell ref="AY30:AY32"/>
    <mergeCell ref="BL219:BL221"/>
    <mergeCell ref="BC279:BC281"/>
    <mergeCell ref="P63:P65"/>
    <mergeCell ref="AS132:AS134"/>
    <mergeCell ref="W84:W86"/>
    <mergeCell ref="AC246:AC248"/>
    <mergeCell ref="C30:C32"/>
    <mergeCell ref="W78:W80"/>
    <mergeCell ref="BM189:BM191"/>
    <mergeCell ref="AS168:AS170"/>
    <mergeCell ref="BE45:BE47"/>
    <mergeCell ref="BK126:BK128"/>
    <mergeCell ref="AE12:AE14"/>
    <mergeCell ref="AJ138:AJ140"/>
    <mergeCell ref="AR195:AR197"/>
    <mergeCell ref="X174:X176"/>
    <mergeCell ref="B93:B95"/>
    <mergeCell ref="R6:R8"/>
    <mergeCell ref="AH165:AH167"/>
    <mergeCell ref="BI207:BI209"/>
    <mergeCell ref="AO186:AO188"/>
    <mergeCell ref="AV18:AV20"/>
    <mergeCell ref="BL366:BL368"/>
    <mergeCell ref="X18:X20"/>
    <mergeCell ref="H132:H134"/>
    <mergeCell ref="Y144:Y146"/>
    <mergeCell ref="BI78:BI80"/>
    <mergeCell ref="BL201:BL203"/>
    <mergeCell ref="V99:V101"/>
    <mergeCell ref="AK21:AK23"/>
    <mergeCell ref="AW114:AW116"/>
    <mergeCell ref="AB207:AB209"/>
    <mergeCell ref="C60:C62"/>
    <mergeCell ref="BG15:BG17"/>
    <mergeCell ref="A27:A29"/>
    <mergeCell ref="AL198:AL200"/>
    <mergeCell ref="BA120:BA122"/>
    <mergeCell ref="T72:T74"/>
    <mergeCell ref="M105:M107"/>
    <mergeCell ref="AD54:AD56"/>
    <mergeCell ref="BH141:BH143"/>
    <mergeCell ref="A141:A143"/>
    <mergeCell ref="BN303:BN305"/>
    <mergeCell ref="BK294:BK296"/>
    <mergeCell ref="AQ87:AQ89"/>
    <mergeCell ref="AA201:AA203"/>
    <mergeCell ref="BA147:BA149"/>
    <mergeCell ref="A327:A329"/>
    <mergeCell ref="AO54:AO56"/>
    <mergeCell ref="N168:N170"/>
    <mergeCell ref="AC90:AC92"/>
    <mergeCell ref="BM24:BM26"/>
    <mergeCell ref="X192:X194"/>
    <mergeCell ref="AM27:AM29"/>
    <mergeCell ref="V129:V131"/>
    <mergeCell ref="AS189:AS191"/>
    <mergeCell ref="T96:T98"/>
    <mergeCell ref="BG162:BG164"/>
    <mergeCell ref="AD87:AD89"/>
    <mergeCell ref="BN21:BN23"/>
    <mergeCell ref="BM360:BM362"/>
    <mergeCell ref="C42:C44"/>
    <mergeCell ref="AW36:AW38"/>
    <mergeCell ref="A9:A11"/>
    <mergeCell ref="BE93:BE95"/>
    <mergeCell ref="BG33:BG35"/>
    <mergeCell ref="T54:T56"/>
    <mergeCell ref="BD330:BD332"/>
    <mergeCell ref="AD114:AD116"/>
    <mergeCell ref="Z135:Z137"/>
    <mergeCell ref="AT183:AT185"/>
    <mergeCell ref="D81:D83"/>
    <mergeCell ref="AH219:AH221"/>
    <mergeCell ref="AB51:AB53"/>
    <mergeCell ref="AY75:AY77"/>
    <mergeCell ref="V156:V158"/>
    <mergeCell ref="BI222:BI224"/>
    <mergeCell ref="BM42:BM44"/>
    <mergeCell ref="D381:D383"/>
    <mergeCell ref="AI189:AI191"/>
    <mergeCell ref="C75:C77"/>
    <mergeCell ref="H201:H203"/>
    <mergeCell ref="AM9:AM11"/>
    <mergeCell ref="AW69:AW71"/>
    <mergeCell ref="AY102:AY104"/>
    <mergeCell ref="BN18:BN20"/>
    <mergeCell ref="BN24:BN26"/>
    <mergeCell ref="V24:V26"/>
    <mergeCell ref="AU6:AU8"/>
    <mergeCell ref="V60:V62"/>
    <mergeCell ref="AC318:AC320"/>
    <mergeCell ref="AQ144:AQ146"/>
    <mergeCell ref="Z189:Z191"/>
    <mergeCell ref="C129:C131"/>
    <mergeCell ref="BG30:BG32"/>
    <mergeCell ref="BK165:BK167"/>
    <mergeCell ref="BN51:BN53"/>
    <mergeCell ref="BE117:BE119"/>
    <mergeCell ref="BK279:BK281"/>
    <mergeCell ref="X126:X128"/>
    <mergeCell ref="AU306:AU308"/>
    <mergeCell ref="AR261:AR263"/>
    <mergeCell ref="AV117:AV119"/>
    <mergeCell ref="AR138:AR140"/>
    <mergeCell ref="AW72:AW74"/>
    <mergeCell ref="B36:B38"/>
    <mergeCell ref="H198:H200"/>
    <mergeCell ref="AC51:AC53"/>
    <mergeCell ref="BG54:BG56"/>
    <mergeCell ref="BJ126:BJ128"/>
    <mergeCell ref="AQ195:AQ197"/>
    <mergeCell ref="B336:B338"/>
    <mergeCell ref="D216:D218"/>
    <mergeCell ref="AW57:AW59"/>
    <mergeCell ref="BA192:BA194"/>
    <mergeCell ref="BN375:BN377"/>
    <mergeCell ref="D252:D254"/>
    <mergeCell ref="AN186:AN188"/>
    <mergeCell ref="BD345:BD347"/>
    <mergeCell ref="BK366:BK368"/>
    <mergeCell ref="N126:N128"/>
    <mergeCell ref="R63:R65"/>
    <mergeCell ref="AD39:AD41"/>
    <mergeCell ref="AT198:AT200"/>
    <mergeCell ref="X150:X152"/>
    <mergeCell ref="BH84:BH86"/>
    <mergeCell ref="U105:U107"/>
    <mergeCell ref="A84:A86"/>
    <mergeCell ref="X144:X146"/>
    <mergeCell ref="AR279:AR281"/>
    <mergeCell ref="BG201:BG203"/>
    <mergeCell ref="V81:V83"/>
    <mergeCell ref="AK177:AK179"/>
    <mergeCell ref="AZ363:AZ365"/>
    <mergeCell ref="BI147:BI149"/>
    <mergeCell ref="AC33:AC35"/>
    <mergeCell ref="AM93:AM95"/>
    <mergeCell ref="J15:J17"/>
    <mergeCell ref="AZ126:AZ128"/>
    <mergeCell ref="BI18:BI20"/>
    <mergeCell ref="T12:T14"/>
    <mergeCell ref="Z210:Z212"/>
    <mergeCell ref="BG105:BG107"/>
    <mergeCell ref="BJ144:BJ146"/>
    <mergeCell ref="D234:D236"/>
    <mergeCell ref="AO150:AO152"/>
    <mergeCell ref="AJ225:AJ227"/>
    <mergeCell ref="B171:B173"/>
    <mergeCell ref="BL330:BL332"/>
    <mergeCell ref="AR309:AR311"/>
    <mergeCell ref="AP276:AP278"/>
    <mergeCell ref="L81:L83"/>
    <mergeCell ref="AC84:AC86"/>
    <mergeCell ref="AY174:AY176"/>
    <mergeCell ref="AP120:AP122"/>
    <mergeCell ref="AM75:AM77"/>
    <mergeCell ref="BN90:BN92"/>
    <mergeCell ref="BI165:BI167"/>
    <mergeCell ref="AS279:AS281"/>
    <mergeCell ref="T36:T38"/>
    <mergeCell ref="AV315:AV317"/>
    <mergeCell ref="P201:P203"/>
    <mergeCell ref="BE69:BE71"/>
    <mergeCell ref="A114:A116"/>
    <mergeCell ref="J33:J35"/>
    <mergeCell ref="AK48:AK50"/>
    <mergeCell ref="AL138:AL140"/>
    <mergeCell ref="R117:R119"/>
    <mergeCell ref="AQ210:AQ212"/>
    <mergeCell ref="AX231:AX233"/>
    <mergeCell ref="BH222:BH224"/>
    <mergeCell ref="N138:N140"/>
    <mergeCell ref="AB108:AB110"/>
    <mergeCell ref="AO297:AO299"/>
    <mergeCell ref="BC6:BC8"/>
    <mergeCell ref="C381:C383"/>
    <mergeCell ref="AH189:AH191"/>
    <mergeCell ref="B75:B77"/>
    <mergeCell ref="AL9:AL11"/>
    <mergeCell ref="BB351:BB353"/>
    <mergeCell ref="AQ57:AQ59"/>
    <mergeCell ref="AE21:AE23"/>
    <mergeCell ref="BC306:BC308"/>
    <mergeCell ref="AM105:AM107"/>
    <mergeCell ref="B102:B104"/>
    <mergeCell ref="BM51:BM53"/>
    <mergeCell ref="AD207:AD209"/>
    <mergeCell ref="J186:J188"/>
    <mergeCell ref="T183:T185"/>
    <mergeCell ref="AU63:AU65"/>
    <mergeCell ref="AN198:AN200"/>
    <mergeCell ref="T177:T179"/>
    <mergeCell ref="BD117:BD119"/>
    <mergeCell ref="BN108:BN110"/>
    <mergeCell ref="AD84:AD86"/>
    <mergeCell ref="J30:J32"/>
    <mergeCell ref="AD78:AD80"/>
    <mergeCell ref="AT306:AT308"/>
    <mergeCell ref="AQ111:AQ113"/>
    <mergeCell ref="AV72:AV74"/>
    <mergeCell ref="AS27:AS29"/>
    <mergeCell ref="BN318:BN320"/>
    <mergeCell ref="D168:D170"/>
    <mergeCell ref="BC24:BC26"/>
    <mergeCell ref="AI3:AI5"/>
    <mergeCell ref="AO165:AO167"/>
    <mergeCell ref="AV186:AV188"/>
    <mergeCell ref="BC18:BC20"/>
    <mergeCell ref="AL39:AL41"/>
    <mergeCell ref="A336:A338"/>
    <mergeCell ref="AC99:AC101"/>
    <mergeCell ref="BM33:BM35"/>
    <mergeCell ref="BJ339:BJ341"/>
    <mergeCell ref="C66:C68"/>
    <mergeCell ref="C102:C104"/>
    <mergeCell ref="AM36:AM38"/>
    <mergeCell ref="AP159:AP161"/>
    <mergeCell ref="AU93:AU95"/>
    <mergeCell ref="T105:T107"/>
    <mergeCell ref="AZ219:AZ221"/>
    <mergeCell ref="AB162:AB164"/>
    <mergeCell ref="BF201:BF203"/>
    <mergeCell ref="L120:L122"/>
    <mergeCell ref="AB33:AB35"/>
    <mergeCell ref="AS45:AS47"/>
    <mergeCell ref="AC159:AC161"/>
    <mergeCell ref="AY126:AY128"/>
    <mergeCell ref="L174:L176"/>
    <mergeCell ref="V171:V173"/>
    <mergeCell ref="BD18:BD20"/>
    <mergeCell ref="BF105:BF107"/>
    <mergeCell ref="V165:V167"/>
    <mergeCell ref="BN162:BN164"/>
    <mergeCell ref="AD222:AD224"/>
    <mergeCell ref="BN156:BN158"/>
    <mergeCell ref="H9:H11"/>
    <mergeCell ref="BN33:BN35"/>
    <mergeCell ref="BK330:BK332"/>
    <mergeCell ref="AK114:AK116"/>
    <mergeCell ref="BH294:BH296"/>
    <mergeCell ref="AU15:AU17"/>
    <mergeCell ref="H36:H38"/>
    <mergeCell ref="AI51:AI53"/>
    <mergeCell ref="BE12:BE14"/>
    <mergeCell ref="AO120:AO122"/>
    <mergeCell ref="BF231:BF233"/>
    <mergeCell ref="H72:H74"/>
    <mergeCell ref="BM90:BM92"/>
    <mergeCell ref="BM96:BM98"/>
    <mergeCell ref="BH165:BH167"/>
    <mergeCell ref="X141:X143"/>
    <mergeCell ref="AM57:AM59"/>
    <mergeCell ref="AH132:AH134"/>
    <mergeCell ref="AT9:AT11"/>
    <mergeCell ref="B174:B176"/>
    <mergeCell ref="T135:T137"/>
    <mergeCell ref="BG192:BG194"/>
    <mergeCell ref="BJ351:BJ353"/>
    <mergeCell ref="L192:L194"/>
    <mergeCell ref="AN297:AN299"/>
    <mergeCell ref="AW81:AW83"/>
    <mergeCell ref="AX288:AX290"/>
    <mergeCell ref="AD150:AD152"/>
    <mergeCell ref="J129:J131"/>
    <mergeCell ref="BN84:BN86"/>
    <mergeCell ref="Y18:Y20"/>
    <mergeCell ref="BA330:BA332"/>
    <mergeCell ref="T120:T122"/>
    <mergeCell ref="T3:T5"/>
    <mergeCell ref="AQ300:AQ302"/>
    <mergeCell ref="AD21:AD23"/>
    <mergeCell ref="AL78:AL80"/>
    <mergeCell ref="R57:R59"/>
    <mergeCell ref="BA201:BA203"/>
    <mergeCell ref="P24:P26"/>
    <mergeCell ref="BC90:BC92"/>
    <mergeCell ref="AM204:AM206"/>
    <mergeCell ref="BC117:BC119"/>
    <mergeCell ref="BM108:BM110"/>
    <mergeCell ref="AC57:AC59"/>
    <mergeCell ref="BK45:BK47"/>
    <mergeCell ref="AK12:AK14"/>
    <mergeCell ref="AC357:AC359"/>
    <mergeCell ref="H93:H95"/>
    <mergeCell ref="AC42:AC44"/>
    <mergeCell ref="C168:C170"/>
    <mergeCell ref="R90:R92"/>
    <mergeCell ref="BB24:BB26"/>
    <mergeCell ref="BM327:BM329"/>
    <mergeCell ref="AU186:AU188"/>
    <mergeCell ref="BE183:BE185"/>
    <mergeCell ref="BK345:BK347"/>
    <mergeCell ref="U126:U128"/>
    <mergeCell ref="AK39:AK41"/>
    <mergeCell ref="BE60:BE62"/>
    <mergeCell ref="B195:B197"/>
    <mergeCell ref="BH219:BH221"/>
    <mergeCell ref="AU30:AU32"/>
    <mergeCell ref="AB105:AB107"/>
    <mergeCell ref="B231:B233"/>
    <mergeCell ref="AB99:AB101"/>
    <mergeCell ref="L213:L215"/>
    <mergeCell ref="AH186:AH188"/>
    <mergeCell ref="AY279:AY281"/>
    <mergeCell ref="S84:S86"/>
    <mergeCell ref="AZ261:AZ263"/>
    <mergeCell ref="BN114:BN116"/>
    <mergeCell ref="S78:S80"/>
    <mergeCell ref="AQ48:AQ50"/>
    <mergeCell ref="BA45:BA47"/>
    <mergeCell ref="AK159:AK161"/>
    <mergeCell ref="AX342:AX344"/>
    <mergeCell ref="AK153:AK155"/>
    <mergeCell ref="BH333:BH335"/>
    <mergeCell ref="AK72:AK74"/>
    <mergeCell ref="T174:T176"/>
    <mergeCell ref="AU54:AU56"/>
    <mergeCell ref="N6:N8"/>
    <mergeCell ref="R141:R143"/>
    <mergeCell ref="AD165:AD167"/>
    <mergeCell ref="BN99:BN101"/>
    <mergeCell ref="AK186:AK188"/>
    <mergeCell ref="H111:H113"/>
    <mergeCell ref="D132:D134"/>
    <mergeCell ref="AX126:AX128"/>
    <mergeCell ref="Z69:Z71"/>
    <mergeCell ref="U144:U146"/>
    <mergeCell ref="A123:A125"/>
    <mergeCell ref="AO192:AO194"/>
    <mergeCell ref="B213:B215"/>
    <mergeCell ref="BM162:BM164"/>
    <mergeCell ref="AC222:AC224"/>
    <mergeCell ref="X207:X209"/>
    <mergeCell ref="AM129:AM131"/>
    <mergeCell ref="BC15:BC17"/>
    <mergeCell ref="AJ84:AJ86"/>
    <mergeCell ref="BC51:BC53"/>
    <mergeCell ref="AW120:AW122"/>
    <mergeCell ref="BJ309:BJ311"/>
    <mergeCell ref="BD141:BD143"/>
    <mergeCell ref="C309:C311"/>
    <mergeCell ref="BG294:BG296"/>
    <mergeCell ref="AU201:AU203"/>
    <mergeCell ref="J81:J83"/>
    <mergeCell ref="T78:T80"/>
    <mergeCell ref="W201:W203"/>
    <mergeCell ref="BD12:BD14"/>
    <mergeCell ref="AS138:AS140"/>
    <mergeCell ref="C93:C95"/>
    <mergeCell ref="D300:D302"/>
    <mergeCell ref="BF288:BF290"/>
    <mergeCell ref="D219:D221"/>
    <mergeCell ref="AI27:AI29"/>
    <mergeCell ref="AO189:AO191"/>
    <mergeCell ref="A174:A176"/>
    <mergeCell ref="B210:B212"/>
    <mergeCell ref="P96:P98"/>
    <mergeCell ref="AS9:AS11"/>
    <mergeCell ref="BI360:BI362"/>
    <mergeCell ref="BM180:BM182"/>
    <mergeCell ref="L147:L149"/>
    <mergeCell ref="BK3:BK5"/>
    <mergeCell ref="AC150:AC152"/>
    <mergeCell ref="BC33:BC35"/>
    <mergeCell ref="AZ330:AZ332"/>
    <mergeCell ref="BK117:BK119"/>
    <mergeCell ref="Z114:Z116"/>
    <mergeCell ref="AU198:AU200"/>
    <mergeCell ref="AP183:AP185"/>
    <mergeCell ref="V162:V164"/>
    <mergeCell ref="AK84:AK86"/>
    <mergeCell ref="AD219:AD221"/>
    <mergeCell ref="X51:X53"/>
    <mergeCell ref="C240:C242"/>
    <mergeCell ref="BE135:BE137"/>
    <mergeCell ref="R156:R158"/>
    <mergeCell ref="BC72:BC74"/>
    <mergeCell ref="E306:E308"/>
    <mergeCell ref="AU102:AU104"/>
    <mergeCell ref="D201:D203"/>
    <mergeCell ref="BJ24:BJ26"/>
    <mergeCell ref="AB171:AB173"/>
    <mergeCell ref="BJ18:BJ20"/>
    <mergeCell ref="B138:B140"/>
    <mergeCell ref="AQ123:AQ125"/>
    <mergeCell ref="AQ6:AQ8"/>
    <mergeCell ref="BK144:BK146"/>
    <mergeCell ref="BC30:BC32"/>
    <mergeCell ref="E297:E299"/>
    <mergeCell ref="AB42:AB44"/>
    <mergeCell ref="V189:V191"/>
    <mergeCell ref="AM144:AM146"/>
    <mergeCell ref="BG165:BG167"/>
    <mergeCell ref="N45:N47"/>
    <mergeCell ref="T126:T128"/>
    <mergeCell ref="AD123:AD125"/>
    <mergeCell ref="BN57:BN59"/>
    <mergeCell ref="AQ306:AQ308"/>
    <mergeCell ref="BK12:BK14"/>
    <mergeCell ref="AA105:AA107"/>
    <mergeCell ref="D354:D356"/>
    <mergeCell ref="BN171:BN173"/>
    <mergeCell ref="BL138:BL140"/>
    <mergeCell ref="AK15:AK17"/>
    <mergeCell ref="AN138:AN140"/>
    <mergeCell ref="AQ177:AQ179"/>
    <mergeCell ref="D198:D200"/>
    <mergeCell ref="R84:R86"/>
    <mergeCell ref="AS72:AS74"/>
    <mergeCell ref="Z141:Z143"/>
    <mergeCell ref="BC54:BC56"/>
    <mergeCell ref="BN357:BN359"/>
    <mergeCell ref="AB75:AB77"/>
    <mergeCell ref="P111:P113"/>
    <mergeCell ref="BF126:BF128"/>
    <mergeCell ref="Z12:Z14"/>
    <mergeCell ref="C261:C263"/>
    <mergeCell ref="AJ72:AJ74"/>
    <mergeCell ref="AM195:AM197"/>
    <mergeCell ref="AW192:AW194"/>
    <mergeCell ref="BM105:BM107"/>
    <mergeCell ref="L216:L218"/>
    <mergeCell ref="AC165:AC167"/>
    <mergeCell ref="AJ186:AJ188"/>
    <mergeCell ref="AZ345:AZ347"/>
    <mergeCell ref="BN198:BN200"/>
    <mergeCell ref="C132:C134"/>
    <mergeCell ref="BI99:BI101"/>
    <mergeCell ref="AP198:AP200"/>
    <mergeCell ref="BD84:BD86"/>
    <mergeCell ref="Q105:Q107"/>
    <mergeCell ref="T144:T146"/>
    <mergeCell ref="AF21:AF23"/>
    <mergeCell ref="D372:D374"/>
    <mergeCell ref="AI180:AI182"/>
    <mergeCell ref="R81:R83"/>
    <mergeCell ref="A63:A65"/>
    <mergeCell ref="A1:BN1"/>
    <mergeCell ref="BE174:BE176"/>
    <mergeCell ref="D285:D287"/>
    <mergeCell ref="AI93:AI95"/>
    <mergeCell ref="B309:B311"/>
    <mergeCell ref="BC141:BC143"/>
    <mergeCell ref="BM132:BM134"/>
    <mergeCell ref="L219:L221"/>
    <mergeCell ref="B153:B155"/>
    <mergeCell ref="BA9:BA11"/>
    <mergeCell ref="X96:X98"/>
    <mergeCell ref="P33:P35"/>
    <mergeCell ref="BF144:BF146"/>
    <mergeCell ref="X90:X92"/>
    <mergeCell ref="BK69:BK71"/>
    <mergeCell ref="C279:C281"/>
    <mergeCell ref="S192:S194"/>
    <mergeCell ref="BN228:BN230"/>
    <mergeCell ref="BN222:BN224"/>
    <mergeCell ref="AN195:AN197"/>
    <mergeCell ref="BA36:BA38"/>
    <mergeCell ref="AK150:AK152"/>
    <mergeCell ref="BE207:BE209"/>
    <mergeCell ref="J171:J173"/>
    <mergeCell ref="AR18:AR20"/>
    <mergeCell ref="BH330:BH332"/>
    <mergeCell ref="A87:A89"/>
    <mergeCell ref="AB129:AB131"/>
    <mergeCell ref="H102:H104"/>
    <mergeCell ref="BH201:BH203"/>
    <mergeCell ref="AL120:AL122"/>
    <mergeCell ref="R99:R101"/>
    <mergeCell ref="BM135:BM137"/>
    <mergeCell ref="Z156:Z158"/>
    <mergeCell ref="AO279:AO281"/>
    <mergeCell ref="AV294:AV296"/>
    <mergeCell ref="P36:P38"/>
    <mergeCell ref="BL363:BL365"/>
    <mergeCell ref="B240:B242"/>
    <mergeCell ref="AM210:AM212"/>
    <mergeCell ref="AT231:AT233"/>
    <mergeCell ref="BA96:BA98"/>
    <mergeCell ref="N117:N119"/>
    <mergeCell ref="BB333:BB335"/>
    <mergeCell ref="BK87:BK89"/>
    <mergeCell ref="BD222:BD224"/>
    <mergeCell ref="X108:X110"/>
    <mergeCell ref="BN246:BN248"/>
    <mergeCell ref="BN129:BN131"/>
    <mergeCell ref="AD189:AD191"/>
    <mergeCell ref="J168:J170"/>
    <mergeCell ref="C201:C203"/>
    <mergeCell ref="BI24:BI26"/>
    <mergeCell ref="BN123:BN125"/>
    <mergeCell ref="V45:V47"/>
    <mergeCell ref="A234:A236"/>
    <mergeCell ref="BL183:BL185"/>
    <mergeCell ref="T69:T71"/>
    <mergeCell ref="AB126:AB128"/>
    <mergeCell ref="A147:A149"/>
    <mergeCell ref="BF165:BF167"/>
    <mergeCell ref="AI105:AI107"/>
    <mergeCell ref="AC252:AC254"/>
    <mergeCell ref="BI51:BI53"/>
    <mergeCell ref="BM186:BM188"/>
    <mergeCell ref="P183:P185"/>
    <mergeCell ref="H120:H122"/>
    <mergeCell ref="AQ63:AQ65"/>
    <mergeCell ref="AZ117:AZ119"/>
    <mergeCell ref="BC156:BC158"/>
    <mergeCell ref="Z84:Z86"/>
    <mergeCell ref="BM57:BM59"/>
    <mergeCell ref="AP306:AP308"/>
    <mergeCell ref="Z78:Z80"/>
    <mergeCell ref="J192:J194"/>
    <mergeCell ref="C327:C329"/>
    <mergeCell ref="BA93:BA95"/>
    <mergeCell ref="AC237:AC239"/>
    <mergeCell ref="BM171:BM173"/>
    <mergeCell ref="C204:C206"/>
    <mergeCell ref="BN297:BN299"/>
    <mergeCell ref="AR72:AR74"/>
    <mergeCell ref="AO27:AO29"/>
    <mergeCell ref="Y141:Y143"/>
    <mergeCell ref="AP297:AP299"/>
    <mergeCell ref="BG195:BG197"/>
    <mergeCell ref="AK165:AK167"/>
    <mergeCell ref="BM357:BM359"/>
    <mergeCell ref="AY18:AY20"/>
    <mergeCell ref="AI132:AI134"/>
    <mergeCell ref="AY45:AY47"/>
    <mergeCell ref="BI42:BI44"/>
    <mergeCell ref="B261:B263"/>
    <mergeCell ref="AB144:AB146"/>
    <mergeCell ref="H123:H125"/>
    <mergeCell ref="BL78:BL80"/>
    <mergeCell ref="AP24:AP26"/>
    <mergeCell ref="D288:D290"/>
    <mergeCell ref="R24:R26"/>
    <mergeCell ref="AS183:AS185"/>
    <mergeCell ref="AL159:AL161"/>
    <mergeCell ref="BD120:BD122"/>
    <mergeCell ref="BK141:BK143"/>
    <mergeCell ref="N18:N20"/>
    <mergeCell ref="P105:P107"/>
    <mergeCell ref="AK198:AK200"/>
    <mergeCell ref="BA111:BA113"/>
    <mergeCell ref="C345:C347"/>
    <mergeCell ref="BB201:BB203"/>
    <mergeCell ref="AH180:AH182"/>
    <mergeCell ref="BN294:BN296"/>
    <mergeCell ref="AA78:AA80"/>
    <mergeCell ref="AN261:AN263"/>
    <mergeCell ref="X33:X35"/>
    <mergeCell ref="AY48:AY50"/>
    <mergeCell ref="A282:A284"/>
    <mergeCell ref="AO45:AO47"/>
    <mergeCell ref="Y159:Y161"/>
    <mergeCell ref="AB195:AB197"/>
    <mergeCell ref="C48:C50"/>
    <mergeCell ref="H174:H176"/>
    <mergeCell ref="R171:R173"/>
    <mergeCell ref="AZ18:AZ20"/>
    <mergeCell ref="A72:A74"/>
    <mergeCell ref="R165:R167"/>
    <mergeCell ref="B279:B281"/>
    <mergeCell ref="AT276:AT278"/>
    <mergeCell ref="AQ147:AQ149"/>
    <mergeCell ref="BA108:BA110"/>
    <mergeCell ref="BC81:BC83"/>
    <mergeCell ref="P102:P104"/>
    <mergeCell ref="D9:D11"/>
    <mergeCell ref="BG330:BG332"/>
    <mergeCell ref="BK153:BK155"/>
    <mergeCell ref="AI186:AI188"/>
    <mergeCell ref="AK120:AK122"/>
    <mergeCell ref="BI96:BI98"/>
    <mergeCell ref="BI90:BI92"/>
    <mergeCell ref="D345:D347"/>
    <mergeCell ref="AN279:AN281"/>
    <mergeCell ref="T141:T143"/>
    <mergeCell ref="A300:A302"/>
    <mergeCell ref="AD132:AD134"/>
    <mergeCell ref="H78:H80"/>
    <mergeCell ref="AP9:AP11"/>
    <mergeCell ref="P135:P137"/>
    <mergeCell ref="H192:H194"/>
    <mergeCell ref="AS81:AS83"/>
    <mergeCell ref="AC195:AC197"/>
    <mergeCell ref="AT288:AT290"/>
    <mergeCell ref="BM129:BM131"/>
    <mergeCell ref="Z150:Z152"/>
    <mergeCell ref="AC189:AC191"/>
    <mergeCell ref="AO66:AO68"/>
    <mergeCell ref="AC309:AC311"/>
    <mergeCell ref="AY63:AY65"/>
    <mergeCell ref="BK156:BK158"/>
    <mergeCell ref="AR225:AR227"/>
    <mergeCell ref="Z21:Z23"/>
    <mergeCell ref="AX306:AX308"/>
    <mergeCell ref="C270:C272"/>
    <mergeCell ref="AW201:AW203"/>
    <mergeCell ref="L24:L26"/>
    <mergeCell ref="AC180:AC182"/>
    <mergeCell ref="AY117:AY119"/>
    <mergeCell ref="BI108:BI110"/>
    <mergeCell ref="Y84:Y86"/>
    <mergeCell ref="AB210:AB212"/>
    <mergeCell ref="BG45:BG47"/>
    <mergeCell ref="B177:B179"/>
    <mergeCell ref="D93:D95"/>
    <mergeCell ref="BA69:BA71"/>
    <mergeCell ref="BN252:BN254"/>
    <mergeCell ref="N90:N92"/>
    <mergeCell ref="AD3:AD5"/>
    <mergeCell ref="AX24:AX26"/>
    <mergeCell ref="AQ186:AQ188"/>
    <mergeCell ref="BK207:BK209"/>
    <mergeCell ref="BA183:BA185"/>
    <mergeCell ref="BN366:BN368"/>
    <mergeCell ref="BK84:BK86"/>
    <mergeCell ref="BD219:BD221"/>
    <mergeCell ref="AQ30:AQ32"/>
    <mergeCell ref="X105:X107"/>
    <mergeCell ref="AA144:AA146"/>
    <mergeCell ref="BB186:BB188"/>
    <mergeCell ref="X99:X101"/>
    <mergeCell ref="H213:H215"/>
    <mergeCell ref="BK78:BK80"/>
    <mergeCell ref="C288:C290"/>
    <mergeCell ref="BN237:BN239"/>
    <mergeCell ref="A225:A227"/>
    <mergeCell ref="O78:O80"/>
    <mergeCell ref="BJ141:BJ143"/>
    <mergeCell ref="B351:B353"/>
    <mergeCell ref="AJ198:AJ200"/>
    <mergeCell ref="AC360:AC362"/>
    <mergeCell ref="B264:B266"/>
    <mergeCell ref="P174:P176"/>
    <mergeCell ref="AQ54:AQ56"/>
    <mergeCell ref="J6:J8"/>
    <mergeCell ref="N141:N143"/>
    <mergeCell ref="BM144:BM146"/>
    <mergeCell ref="Z165:Z167"/>
    <mergeCell ref="BN234:BN236"/>
    <mergeCell ref="AY147:AY149"/>
    <mergeCell ref="D111:D113"/>
    <mergeCell ref="N12:N14"/>
    <mergeCell ref="V69:V71"/>
    <mergeCell ref="B48:B50"/>
    <mergeCell ref="AK192:AK194"/>
    <mergeCell ref="BL207:BL209"/>
    <mergeCell ref="BI162:BI164"/>
    <mergeCell ref="D321:D323"/>
    <mergeCell ref="AI129:AI131"/>
    <mergeCell ref="AK63:AK65"/>
    <mergeCell ref="C9:C11"/>
    <mergeCell ref="AS120:AS122"/>
    <mergeCell ref="AY51:AY53"/>
    <mergeCell ref="AZ141:AZ143"/>
    <mergeCell ref="B348:B350"/>
    <mergeCell ref="BF309:BF311"/>
    <mergeCell ref="BI33:BI35"/>
    <mergeCell ref="BF339:BF341"/>
    <mergeCell ref="BJ159:BJ161"/>
    <mergeCell ref="BC294:BC296"/>
    <mergeCell ref="AX72:AX74"/>
    <mergeCell ref="P78:P80"/>
    <mergeCell ref="AZ12:AZ14"/>
    <mergeCell ref="AC261:AC263"/>
    <mergeCell ref="AS174:AS176"/>
    <mergeCell ref="C72:C74"/>
    <mergeCell ref="BC171:BC173"/>
    <mergeCell ref="BG300:BG302"/>
    <mergeCell ref="AR297:AR299"/>
    <mergeCell ref="AL129:AL131"/>
    <mergeCell ref="AC132:AC134"/>
    <mergeCell ref="C342:C344"/>
    <mergeCell ref="AE27:AE29"/>
    <mergeCell ref="J201:J203"/>
    <mergeCell ref="AK189:AK191"/>
    <mergeCell ref="L96:L98"/>
    <mergeCell ref="AO9:AO11"/>
    <mergeCell ref="BG126:BG128"/>
    <mergeCell ref="B66:B68"/>
    <mergeCell ref="BN105:BN107"/>
    <mergeCell ref="BI180:BI182"/>
    <mergeCell ref="H147:H149"/>
    <mergeCell ref="BG3:BG5"/>
    <mergeCell ref="T24:T26"/>
    <mergeCell ref="T18:T20"/>
    <mergeCell ref="AV330:AV332"/>
    <mergeCell ref="BG117:BG119"/>
    <mergeCell ref="B276:B278"/>
    <mergeCell ref="AV201:AV203"/>
    <mergeCell ref="Z120:Z122"/>
    <mergeCell ref="BA135:BA137"/>
    <mergeCell ref="C369:C371"/>
    <mergeCell ref="N156:N158"/>
    <mergeCell ref="AH204:AH206"/>
    <mergeCell ref="BD294:BD296"/>
    <mergeCell ref="X57:X59"/>
    <mergeCell ref="D36:D38"/>
    <mergeCell ref="AY72:AY74"/>
    <mergeCell ref="BN195:BN197"/>
    <mergeCell ref="BK150:BK152"/>
    <mergeCell ref="AQ129:AQ131"/>
    <mergeCell ref="BF18:BF20"/>
    <mergeCell ref="BN309:BN311"/>
    <mergeCell ref="A177:A179"/>
    <mergeCell ref="AM123:AM125"/>
    <mergeCell ref="A297:A299"/>
    <mergeCell ref="D336:D338"/>
    <mergeCell ref="R189:R191"/>
    <mergeCell ref="BC192:BC194"/>
    <mergeCell ref="AW24:AW26"/>
    <mergeCell ref="J45:J47"/>
    <mergeCell ref="AZ183:AZ185"/>
    <mergeCell ref="BM366:BM368"/>
    <mergeCell ref="P126:P128"/>
    <mergeCell ref="C57:C59"/>
    <mergeCell ref="W105:W107"/>
    <mergeCell ref="AB39:AB41"/>
    <mergeCell ref="BM210:BM212"/>
    <mergeCell ref="B288:B290"/>
    <mergeCell ref="AT279:AT281"/>
    <mergeCell ref="BF78:BF80"/>
    <mergeCell ref="AM177:AM179"/>
    <mergeCell ref="BN336:BN338"/>
    <mergeCell ref="N84:N86"/>
    <mergeCell ref="AY54:AY56"/>
    <mergeCell ref="BI114:BI116"/>
    <mergeCell ref="AO93:AO95"/>
    <mergeCell ref="C357:C359"/>
    <mergeCell ref="B114:B116"/>
    <mergeCell ref="D54:D56"/>
    <mergeCell ref="A324:A326"/>
    <mergeCell ref="L111:L113"/>
    <mergeCell ref="X75:X77"/>
    <mergeCell ref="AY90:AY92"/>
    <mergeCell ref="BB126:BB128"/>
    <mergeCell ref="V12:V14"/>
    <mergeCell ref="AS192:AS194"/>
    <mergeCell ref="BI105:BI107"/>
    <mergeCell ref="BN39:BN41"/>
    <mergeCell ref="BC123:BC125"/>
    <mergeCell ref="A48:A50"/>
    <mergeCell ref="P144:P146"/>
    <mergeCell ref="AC327:AC329"/>
    <mergeCell ref="BA60:BA62"/>
    <mergeCell ref="N81:N83"/>
    <mergeCell ref="BA174:BA176"/>
    <mergeCell ref="AR120:AR122"/>
    <mergeCell ref="AY141:AY143"/>
    <mergeCell ref="B18:B20"/>
    <mergeCell ref="AU279:AU281"/>
    <mergeCell ref="BI132:BI134"/>
    <mergeCell ref="AO111:AO113"/>
    <mergeCell ref="AW168:AW170"/>
    <mergeCell ref="R201:R203"/>
    <mergeCell ref="AW9:AW11"/>
    <mergeCell ref="BG69:BG71"/>
    <mergeCell ref="L33:L35"/>
    <mergeCell ref="AM48:AM50"/>
    <mergeCell ref="B9:B11"/>
    <mergeCell ref="T117:T119"/>
    <mergeCell ref="AT315:AT317"/>
    <mergeCell ref="BJ222:BJ224"/>
    <mergeCell ref="AQ297:AQ299"/>
    <mergeCell ref="AD108:AD110"/>
    <mergeCell ref="A195:A197"/>
    <mergeCell ref="BA288:BA290"/>
    <mergeCell ref="B342:B344"/>
    <mergeCell ref="AD27:AD29"/>
    <mergeCell ref="D75:D77"/>
    <mergeCell ref="BH309:BH311"/>
    <mergeCell ref="BA207:BA209"/>
    <mergeCell ref="AN18:AN20"/>
    <mergeCell ref="AW222:AW224"/>
    <mergeCell ref="BA42:BA44"/>
    <mergeCell ref="D102:D104"/>
    <mergeCell ref="BA78:BA80"/>
    <mergeCell ref="BN261:BN263"/>
    <mergeCell ref="N99:N101"/>
    <mergeCell ref="BF117:BF119"/>
    <mergeCell ref="A249:A251"/>
    <mergeCell ref="L36:L38"/>
    <mergeCell ref="AC48:AC50"/>
    <mergeCell ref="AW96:AW98"/>
    <mergeCell ref="BG87:BG89"/>
    <mergeCell ref="AM66:AM68"/>
    <mergeCell ref="AQ201:AQ203"/>
    <mergeCell ref="AS147:AS149"/>
    <mergeCell ref="AD9:AD11"/>
    <mergeCell ref="AK3:AK5"/>
    <mergeCell ref="BE24:BE26"/>
    <mergeCell ref="BE18:BE20"/>
    <mergeCell ref="AC348:AC350"/>
    <mergeCell ref="P69:P71"/>
    <mergeCell ref="D249:D251"/>
    <mergeCell ref="BC105:BC107"/>
    <mergeCell ref="B72:B74"/>
    <mergeCell ref="BI186:BI188"/>
    <mergeCell ref="AY156:AY158"/>
    <mergeCell ref="D120:D122"/>
    <mergeCell ref="V84:V86"/>
    <mergeCell ref="BI57:BI59"/>
    <mergeCell ref="V78:V80"/>
    <mergeCell ref="B57:B59"/>
    <mergeCell ref="V105:V107"/>
    <mergeCell ref="A267:A269"/>
    <mergeCell ref="AA39:AA41"/>
    <mergeCell ref="AW93:AW95"/>
    <mergeCell ref="AC372:AC374"/>
    <mergeCell ref="AX219:AX221"/>
    <mergeCell ref="C183:C185"/>
    <mergeCell ref="AK30:AK32"/>
    <mergeCell ref="B243:B245"/>
    <mergeCell ref="BJ297:BJ299"/>
    <mergeCell ref="AN72:AN74"/>
    <mergeCell ref="T51:T53"/>
    <mergeCell ref="M84:M86"/>
    <mergeCell ref="BE165:BE167"/>
    <mergeCell ref="U141:U143"/>
    <mergeCell ref="BI357:BI359"/>
    <mergeCell ref="AU45:AU47"/>
    <mergeCell ref="BE42:BE44"/>
    <mergeCell ref="BA126:BA128"/>
    <mergeCell ref="N147:N149"/>
    <mergeCell ref="X171:X173"/>
    <mergeCell ref="BH105:BH107"/>
    <mergeCell ref="AL24:AL26"/>
    <mergeCell ref="R3:R5"/>
    <mergeCell ref="BM39:BM41"/>
    <mergeCell ref="Z60:Z62"/>
    <mergeCell ref="AO183:AO185"/>
    <mergeCell ref="AZ120:AZ122"/>
    <mergeCell ref="BG141:BG143"/>
    <mergeCell ref="C186:C188"/>
    <mergeCell ref="J18:J20"/>
    <mergeCell ref="L105:L107"/>
    <mergeCell ref="AM114:AM116"/>
    <mergeCell ref="BM339:BM341"/>
    <mergeCell ref="AW111:AW113"/>
    <mergeCell ref="AD180:AD182"/>
    <mergeCell ref="BG12:BG14"/>
    <mergeCell ref="AJ261:AJ263"/>
    <mergeCell ref="T33:T35"/>
    <mergeCell ref="AU48:AU50"/>
    <mergeCell ref="AD93:AD95"/>
    <mergeCell ref="J72:J74"/>
    <mergeCell ref="N207:N209"/>
    <mergeCell ref="AS15:AS17"/>
    <mergeCell ref="BD309:BD311"/>
    <mergeCell ref="BJ165:BJ167"/>
    <mergeCell ref="BN300:BN302"/>
    <mergeCell ref="X198:X200"/>
    <mergeCell ref="A138:A140"/>
    <mergeCell ref="A51:A53"/>
    <mergeCell ref="D174:D176"/>
    <mergeCell ref="Q210:Q212"/>
    <mergeCell ref="N165:N167"/>
    <mergeCell ref="AC87:AC89"/>
    <mergeCell ref="AH213:AH215"/>
    <mergeCell ref="BM21:BM23"/>
    <mergeCell ref="AY81:AY83"/>
    <mergeCell ref="A315:A317"/>
    <mergeCell ref="L102:L104"/>
    <mergeCell ref="AZ288:AZ290"/>
    <mergeCell ref="AZ207:AZ209"/>
    <mergeCell ref="BC330:BC332"/>
    <mergeCell ref="BL84:BL86"/>
    <mergeCell ref="BJ198:BJ200"/>
    <mergeCell ref="H6:H8"/>
    <mergeCell ref="V39:V41"/>
    <mergeCell ref="BG153:BG155"/>
    <mergeCell ref="W129:W131"/>
    <mergeCell ref="AI153:AI155"/>
    <mergeCell ref="AT309:AT311"/>
    <mergeCell ref="BE96:BE98"/>
    <mergeCell ref="BE90:BE92"/>
    <mergeCell ref="J54:J56"/>
    <mergeCell ref="AO204:AO206"/>
    <mergeCell ref="BE126:BE128"/>
    <mergeCell ref="D78:D80"/>
    <mergeCell ref="AH216:AH218"/>
    <mergeCell ref="AB48:AB50"/>
    <mergeCell ref="L162:L164"/>
    <mergeCell ref="V153:V155"/>
    <mergeCell ref="AY222:AY224"/>
    <mergeCell ref="B15:B17"/>
    <mergeCell ref="BN144:BN146"/>
    <mergeCell ref="BI129:BI131"/>
    <mergeCell ref="AP288:AP290"/>
    <mergeCell ref="B129:B131"/>
    <mergeCell ref="AO102:AO104"/>
    <mergeCell ref="D378:D380"/>
    <mergeCell ref="AY99:AY101"/>
    <mergeCell ref="BA294:BA296"/>
    <mergeCell ref="BD24:BD26"/>
    <mergeCell ref="BG156:BG158"/>
    <mergeCell ref="B315:B317"/>
    <mergeCell ref="N192:N194"/>
    <mergeCell ref="D231:D233"/>
    <mergeCell ref="H24:H26"/>
    <mergeCell ref="BN48:BN50"/>
    <mergeCell ref="AU117:AU119"/>
    <mergeCell ref="BE108:BE110"/>
    <mergeCell ref="N63:N65"/>
    <mergeCell ref="A36:A38"/>
    <mergeCell ref="U84:U86"/>
    <mergeCell ref="A30:A32"/>
    <mergeCell ref="BK189:BK191"/>
    <mergeCell ref="AQ168:AQ170"/>
    <mergeCell ref="AO135:AO137"/>
    <mergeCell ref="BC45:BC47"/>
    <mergeCell ref="AC12:AC14"/>
    <mergeCell ref="BG210:BG212"/>
    <mergeCell ref="AM72:AM74"/>
    <mergeCell ref="BJ333:BJ335"/>
    <mergeCell ref="A363:A365"/>
    <mergeCell ref="AP231:AP233"/>
    <mergeCell ref="Z3:Z5"/>
    <mergeCell ref="J117:J119"/>
    <mergeCell ref="C252:C254"/>
    <mergeCell ref="AT24:AT26"/>
    <mergeCell ref="AU288:AU290"/>
    <mergeCell ref="AW183:AW185"/>
    <mergeCell ref="AZ222:AZ224"/>
    <mergeCell ref="T108:T110"/>
    <mergeCell ref="BG84:BG86"/>
    <mergeCell ref="W144:W146"/>
    <mergeCell ref="C123:C125"/>
    <mergeCell ref="AQ192:AQ194"/>
    <mergeCell ref="AV126:AV128"/>
    <mergeCell ref="A90:A92"/>
    <mergeCell ref="D213:D215"/>
    <mergeCell ref="BG78:BG80"/>
    <mergeCell ref="BN372:BN374"/>
    <mergeCell ref="BK363:BK365"/>
    <mergeCell ref="N123:N125"/>
    <mergeCell ref="V207:V209"/>
    <mergeCell ref="B186:B188"/>
    <mergeCell ref="BF141:BF143"/>
    <mergeCell ref="P39:P41"/>
    <mergeCell ref="BB279:BB281"/>
    <mergeCell ref="L177:L179"/>
    <mergeCell ref="B30:B32"/>
    <mergeCell ref="C120:C122"/>
    <mergeCell ref="AM54:AM56"/>
    <mergeCell ref="BI144:BI146"/>
    <mergeCell ref="BN69:BN71"/>
    <mergeCell ref="AM90:AM92"/>
    <mergeCell ref="AU147:AU149"/>
    <mergeCell ref="AA126:AA128"/>
    <mergeCell ref="J12:J14"/>
    <mergeCell ref="AK27:AK29"/>
    <mergeCell ref="R96:R98"/>
    <mergeCell ref="BH207:BH209"/>
    <mergeCell ref="AU18:AU20"/>
    <mergeCell ref="AB87:AB89"/>
    <mergeCell ref="BE33:BE35"/>
    <mergeCell ref="AQ36:AQ38"/>
    <mergeCell ref="BB339:BB341"/>
    <mergeCell ref="BF159:BF161"/>
    <mergeCell ref="B81:B83"/>
    <mergeCell ref="L78:L80"/>
    <mergeCell ref="AD186:AD188"/>
    <mergeCell ref="Y261:Y263"/>
    <mergeCell ref="AN183:AN185"/>
    <mergeCell ref="T162:T164"/>
    <mergeCell ref="T156:T158"/>
    <mergeCell ref="BC300:BC302"/>
    <mergeCell ref="AD153:AD155"/>
    <mergeCell ref="BN87:BN89"/>
    <mergeCell ref="B381:B383"/>
    <mergeCell ref="A75:A77"/>
    <mergeCell ref="AK9:AK11"/>
    <mergeCell ref="BL24:BL26"/>
    <mergeCell ref="AK45:AK47"/>
    <mergeCell ref="AS102:AS104"/>
    <mergeCell ref="BJ105:BJ107"/>
    <mergeCell ref="AS6:AS8"/>
    <mergeCell ref="D147:D149"/>
    <mergeCell ref="X195:X197"/>
    <mergeCell ref="BC3:BC5"/>
    <mergeCell ref="R27:R29"/>
    <mergeCell ref="A129:A131"/>
    <mergeCell ref="U186:U188"/>
    <mergeCell ref="Z42:Z44"/>
    <mergeCell ref="AW135:AW137"/>
    <mergeCell ref="AC114:AC116"/>
    <mergeCell ref="BM48:BM50"/>
    <mergeCell ref="AD204:AD206"/>
    <mergeCell ref="J183:J185"/>
    <mergeCell ref="AZ294:AZ296"/>
    <mergeCell ref="C81:C83"/>
    <mergeCell ref="AM15:AM17"/>
    <mergeCell ref="AU72:AU74"/>
    <mergeCell ref="T84:T86"/>
    <mergeCell ref="BJ195:BJ197"/>
    <mergeCell ref="AB141:AB143"/>
    <mergeCell ref="BN9:BN11"/>
    <mergeCell ref="BM348:BM350"/>
    <mergeCell ref="D315:D317"/>
    <mergeCell ref="AY192:AY194"/>
    <mergeCell ref="AS24:AS26"/>
    <mergeCell ref="AC138:AC140"/>
    <mergeCell ref="B252:B254"/>
    <mergeCell ref="AV183:AV185"/>
    <mergeCell ref="BI366:BI368"/>
    <mergeCell ref="V150:V152"/>
    <mergeCell ref="BF84:BF86"/>
    <mergeCell ref="BN141:BN143"/>
    <mergeCell ref="S105:S107"/>
    <mergeCell ref="V144:V146"/>
    <mergeCell ref="X39:X41"/>
    <mergeCell ref="AM156:AM158"/>
    <mergeCell ref="BB78:BB80"/>
    <mergeCell ref="C63:C65"/>
    <mergeCell ref="BN12:BN14"/>
    <mergeCell ref="J84:J86"/>
    <mergeCell ref="BE114:BE116"/>
    <mergeCell ref="AK93:AK95"/>
    <mergeCell ref="AU90:AU92"/>
    <mergeCell ref="AB159:AB161"/>
    <mergeCell ref="AW6:AW8"/>
    <mergeCell ref="R12:R14"/>
    <mergeCell ref="AB72:AB74"/>
    <mergeCell ref="H51:H53"/>
    <mergeCell ref="B120:B122"/>
    <mergeCell ref="X210:X212"/>
    <mergeCell ref="BE105:BE107"/>
    <mergeCell ref="BH144:BH146"/>
    <mergeCell ref="BJ39:BJ41"/>
    <mergeCell ref="B234:B236"/>
    <mergeCell ref="AW306:AW308"/>
    <mergeCell ref="L144:L146"/>
    <mergeCell ref="BG207:BG209"/>
    <mergeCell ref="L171:L173"/>
    <mergeCell ref="BA39:BA41"/>
    <mergeCell ref="AN276:AN278"/>
    <mergeCell ref="BN159:BN161"/>
    <mergeCell ref="AW60:AW62"/>
    <mergeCell ref="BN153:BN155"/>
    <mergeCell ref="AD129:AD131"/>
    <mergeCell ref="AW174:AW176"/>
    <mergeCell ref="AN120:AN122"/>
    <mergeCell ref="T99:T101"/>
    <mergeCell ref="AU141:AU143"/>
    <mergeCell ref="BK300:BK302"/>
    <mergeCell ref="AQ279:AQ281"/>
    <mergeCell ref="BE132:BE134"/>
    <mergeCell ref="AK111:AK113"/>
    <mergeCell ref="BM216:BM218"/>
    <mergeCell ref="BA180:BA182"/>
    <mergeCell ref="K78:K80"/>
    <mergeCell ref="N201:N203"/>
    <mergeCell ref="BC69:BC71"/>
    <mergeCell ref="D240:D242"/>
    <mergeCell ref="H33:H35"/>
    <mergeCell ref="AI48:AI50"/>
    <mergeCell ref="P117:P119"/>
    <mergeCell ref="AC153:AC155"/>
    <mergeCell ref="BM87:BM89"/>
    <mergeCell ref="Z108:Z110"/>
    <mergeCell ref="AZ333:AZ335"/>
    <mergeCell ref="AW288:AW290"/>
    <mergeCell ref="Z27:Z29"/>
    <mergeCell ref="AC186:AC188"/>
    <mergeCell ref="C234:C236"/>
    <mergeCell ref="A201:A203"/>
    <mergeCell ref="C147:C149"/>
    <mergeCell ref="J99:J101"/>
    <mergeCell ref="BE162:BE164"/>
    <mergeCell ref="R183:R185"/>
    <mergeCell ref="AS63:AS65"/>
    <mergeCell ref="BB117:BB119"/>
    <mergeCell ref="BE156:BE158"/>
    <mergeCell ref="BG51:BG53"/>
    <mergeCell ref="S186:S188"/>
    <mergeCell ref="AB84:AB86"/>
    <mergeCell ref="L165:L167"/>
    <mergeCell ref="Z198:Z200"/>
    <mergeCell ref="AV141:AV143"/>
    <mergeCell ref="A105:A107"/>
    <mergeCell ref="R54:R56"/>
    <mergeCell ref="AS96:AS98"/>
    <mergeCell ref="A99:A101"/>
    <mergeCell ref="P21:P23"/>
    <mergeCell ref="BH12:BH14"/>
    <mergeCell ref="AY294:AY296"/>
    <mergeCell ref="BC87:BC89"/>
    <mergeCell ref="BK171:BK173"/>
    <mergeCell ref="AT72:AT74"/>
    <mergeCell ref="AO147:AO149"/>
    <mergeCell ref="B168:B170"/>
    <mergeCell ref="BA24:BA26"/>
    <mergeCell ref="BA18:BA20"/>
    <mergeCell ref="AK132:AK134"/>
    <mergeCell ref="BG222:BG224"/>
    <mergeCell ref="H96:H98"/>
    <mergeCell ref="A231:A233"/>
    <mergeCell ref="H90:H92"/>
    <mergeCell ref="C165:C167"/>
    <mergeCell ref="AU156:AU158"/>
    <mergeCell ref="D255:D257"/>
    <mergeCell ref="A102:A104"/>
    <mergeCell ref="AK36:AK38"/>
    <mergeCell ref="AS93:AS95"/>
    <mergeCell ref="B192:B194"/>
    <mergeCell ref="R105:R107"/>
    <mergeCell ref="AQ60:AQ62"/>
    <mergeCell ref="W39:W41"/>
    <mergeCell ref="Z162:Z164"/>
    <mergeCell ref="BM141:BM143"/>
    <mergeCell ref="AT219:AT221"/>
    <mergeCell ref="E345:E347"/>
    <mergeCell ref="BD201:BD203"/>
    <mergeCell ref="B63:B65"/>
    <mergeCell ref="P51:P53"/>
    <mergeCell ref="I84:I86"/>
    <mergeCell ref="J120:J122"/>
    <mergeCell ref="J156:J158"/>
    <mergeCell ref="AQ45:AQ47"/>
    <mergeCell ref="AA159:AA161"/>
    <mergeCell ref="AU180:AU182"/>
    <mergeCell ref="BN225:BN227"/>
    <mergeCell ref="AW126:AW128"/>
    <mergeCell ref="D258:D260"/>
    <mergeCell ref="T171:T173"/>
    <mergeCell ref="BB18:BB20"/>
    <mergeCell ref="BD105:BD107"/>
    <mergeCell ref="N3:N5"/>
    <mergeCell ref="T165:T167"/>
    <mergeCell ref="BI39:BI41"/>
    <mergeCell ref="AN222:AN224"/>
    <mergeCell ref="BL348:BL350"/>
    <mergeCell ref="AV120:AV122"/>
    <mergeCell ref="Z66:Z68"/>
    <mergeCell ref="A120:A122"/>
    <mergeCell ref="BI339:BI341"/>
    <mergeCell ref="AS111:AS113"/>
    <mergeCell ref="AC225:AC227"/>
    <mergeCell ref="BM159:BM161"/>
    <mergeCell ref="Z180:Z182"/>
    <mergeCell ref="BC12:BC14"/>
    <mergeCell ref="AZ309:AZ311"/>
    <mergeCell ref="AM120:AM122"/>
    <mergeCell ref="Z93:Z95"/>
    <mergeCell ref="J207:J209"/>
    <mergeCell ref="X117:X119"/>
    <mergeCell ref="AO15:AO17"/>
    <mergeCell ref="BK96:BK98"/>
    <mergeCell ref="AP279:AP281"/>
    <mergeCell ref="T198:T200"/>
    <mergeCell ref="C219:C221"/>
    <mergeCell ref="R135:R137"/>
    <mergeCell ref="M210:M212"/>
    <mergeCell ref="AD213:AD215"/>
    <mergeCell ref="AU81:AU83"/>
    <mergeCell ref="AV288:AV290"/>
    <mergeCell ref="AV207:AV209"/>
    <mergeCell ref="AB186:AB188"/>
    <mergeCell ref="AI18:AI20"/>
    <mergeCell ref="BM156:BM158"/>
    <mergeCell ref="AC276:AC278"/>
    <mergeCell ref="BK123:BK125"/>
    <mergeCell ref="L108:L110"/>
    <mergeCell ref="BN282:BN284"/>
    <mergeCell ref="N24:N26"/>
    <mergeCell ref="AC120:AC122"/>
    <mergeCell ref="X21:X23"/>
    <mergeCell ref="AK204:AK206"/>
    <mergeCell ref="BA117:BA119"/>
    <mergeCell ref="AD216:AD218"/>
    <mergeCell ref="BK27:BK29"/>
    <mergeCell ref="AK75:AK77"/>
    <mergeCell ref="X48:X50"/>
    <mergeCell ref="H162:H164"/>
    <mergeCell ref="BN186:BN188"/>
    <mergeCell ref="AH3:AH128"/>
    <mergeCell ref="R153:R155"/>
    <mergeCell ref="A168:A170"/>
    <mergeCell ref="P90:P92"/>
    <mergeCell ref="AZ24:AZ26"/>
    <mergeCell ref="AC273:AC275"/>
    <mergeCell ref="BK327:BK329"/>
    <mergeCell ref="BC183:BC185"/>
    <mergeCell ref="B294:B296"/>
    <mergeCell ref="BA150:BA152"/>
    <mergeCell ref="N171:N173"/>
    <mergeCell ref="AQ3:AQ5"/>
    <mergeCell ref="BN183:BN185"/>
    <mergeCell ref="E288:E290"/>
    <mergeCell ref="BN177:BN179"/>
    <mergeCell ref="J222:J224"/>
    <mergeCell ref="AO30:AO32"/>
    <mergeCell ref="N42:N44"/>
    <mergeCell ref="AQ117:AQ119"/>
    <mergeCell ref="J63:J65"/>
    <mergeCell ref="Q84:Q86"/>
    <mergeCell ref="T123:T125"/>
    <mergeCell ref="Q78:Q80"/>
    <mergeCell ref="BN54:BN56"/>
    <mergeCell ref="AK135:AK137"/>
    <mergeCell ref="D351:D353"/>
    <mergeCell ref="AI159:AI161"/>
    <mergeCell ref="BC210:BC212"/>
    <mergeCell ref="BF333:BF335"/>
    <mergeCell ref="D264:D266"/>
    <mergeCell ref="BL105:BL107"/>
    <mergeCell ref="AL231:AL233"/>
    <mergeCell ref="V3:V5"/>
    <mergeCell ref="Z138:Z140"/>
    <mergeCell ref="AV222:AV224"/>
    <mergeCell ref="P108:P110"/>
    <mergeCell ref="P12:P14"/>
    <mergeCell ref="X69:X71"/>
    <mergeCell ref="Z9:Z11"/>
    <mergeCell ref="S144:S146"/>
    <mergeCell ref="C258:C260"/>
    <mergeCell ref="AM192:AM194"/>
    <mergeCell ref="AR126:AR128"/>
    <mergeCell ref="BH39:BH41"/>
    <mergeCell ref="BN207:BN209"/>
    <mergeCell ref="AJ183:AJ185"/>
    <mergeCell ref="AY105:AY107"/>
    <mergeCell ref="BA51:BA53"/>
    <mergeCell ref="J150:J152"/>
    <mergeCell ref="C285:C287"/>
    <mergeCell ref="R207:R209"/>
    <mergeCell ref="BB141:BB143"/>
    <mergeCell ref="AX279:AX281"/>
    <mergeCell ref="AB198:AB200"/>
    <mergeCell ref="H177:H179"/>
    <mergeCell ref="BH339:BH341"/>
    <mergeCell ref="BM114:BM116"/>
    <mergeCell ref="R78:R80"/>
    <mergeCell ref="BB12:BB14"/>
    <mergeCell ref="BE171:BE173"/>
    <mergeCell ref="AI90:AI92"/>
    <mergeCell ref="BC138:BC140"/>
    <mergeCell ref="BI300:BI302"/>
    <mergeCell ref="BK195:BK197"/>
    <mergeCell ref="P159:P161"/>
    <mergeCell ref="AQ174:AQ176"/>
    <mergeCell ref="AT297:AT299"/>
    <mergeCell ref="L180:L182"/>
    <mergeCell ref="BA165:BA167"/>
    <mergeCell ref="BN354:BN356"/>
    <mergeCell ref="B219:B221"/>
    <mergeCell ref="BN348:BN350"/>
    <mergeCell ref="N96:N98"/>
    <mergeCell ref="BD207:BD209"/>
    <mergeCell ref="L210:L212"/>
    <mergeCell ref="AQ18:AQ20"/>
    <mergeCell ref="BK66:BK68"/>
    <mergeCell ref="X87:X89"/>
    <mergeCell ref="J147:J149"/>
    <mergeCell ref="BI3:BI5"/>
    <mergeCell ref="A213:A215"/>
    <mergeCell ref="AU207:AU209"/>
    <mergeCell ref="AX339:AX341"/>
    <mergeCell ref="BB159:BB161"/>
    <mergeCell ref="BE198:BE200"/>
    <mergeCell ref="B333:B335"/>
    <mergeCell ref="AW54:AW56"/>
    <mergeCell ref="H105:H107"/>
    <mergeCell ref="A240:A242"/>
    <mergeCell ref="P162:P164"/>
    <mergeCell ref="H99:H101"/>
    <mergeCell ref="AB120:AB122"/>
    <mergeCell ref="P156:P158"/>
    <mergeCell ref="AS75:AS77"/>
    <mergeCell ref="AY300:AY302"/>
    <mergeCell ref="Z153:Z155"/>
    <mergeCell ref="AT201:AT203"/>
    <mergeCell ref="BC135:BC137"/>
    <mergeCell ref="BD261:BD263"/>
    <mergeCell ref="B201:B203"/>
    <mergeCell ref="AC216:AC218"/>
    <mergeCell ref="AQ69:AQ71"/>
    <mergeCell ref="BH24:BH26"/>
    <mergeCell ref="B237:B239"/>
    <mergeCell ref="BI150:BI152"/>
    <mergeCell ref="AO129:AO131"/>
    <mergeCell ref="BN276:BN278"/>
    <mergeCell ref="AO6:AO8"/>
    <mergeCell ref="BL309:BL311"/>
    <mergeCell ref="AY120:AY122"/>
    <mergeCell ref="T195:T197"/>
    <mergeCell ref="AY3:AY5"/>
    <mergeCell ref="J165:J167"/>
    <mergeCell ref="BI21:BI23"/>
    <mergeCell ref="V42:V44"/>
    <mergeCell ref="AB123:AB125"/>
    <mergeCell ref="D267:D269"/>
    <mergeCell ref="AY330:AY332"/>
    <mergeCell ref="AS135:AS137"/>
    <mergeCell ref="AS162:AS164"/>
    <mergeCell ref="AU51:AU53"/>
    <mergeCell ref="BC153:BC155"/>
    <mergeCell ref="AC363:AC365"/>
    <mergeCell ref="AI15:AI17"/>
    <mergeCell ref="AQ72:AQ74"/>
    <mergeCell ref="BK210:BK212"/>
    <mergeCell ref="P84:P86"/>
    <mergeCell ref="BM297:BM299"/>
    <mergeCell ref="C330:C332"/>
    <mergeCell ref="Z75:Z77"/>
    <mergeCell ref="BA90:BA92"/>
    <mergeCell ref="C324:C326"/>
    <mergeCell ref="N111:N113"/>
    <mergeCell ref="AC234:AC236"/>
    <mergeCell ref="AY171:AY173"/>
    <mergeCell ref="AU192:AU194"/>
    <mergeCell ref="AO24:AO26"/>
    <mergeCell ref="Y138:Y140"/>
    <mergeCell ref="AR183:AR185"/>
    <mergeCell ref="AU222:AU224"/>
    <mergeCell ref="BG99:BG101"/>
    <mergeCell ref="C27:C29"/>
    <mergeCell ref="R150:R152"/>
    <mergeCell ref="R144:R146"/>
    <mergeCell ref="B258:B260"/>
    <mergeCell ref="AQ126:AQ128"/>
    <mergeCell ref="BN306:BN308"/>
    <mergeCell ref="BF363:BF365"/>
    <mergeCell ref="BJ12:BJ14"/>
    <mergeCell ref="D24:D26"/>
    <mergeCell ref="D18:D20"/>
    <mergeCell ref="AQ90:AQ92"/>
    <mergeCell ref="AA204:AA206"/>
    <mergeCell ref="BK138:BK140"/>
    <mergeCell ref="AA198:AA200"/>
    <mergeCell ref="BK132:BK134"/>
    <mergeCell ref="BN291:BN293"/>
    <mergeCell ref="J219:J221"/>
    <mergeCell ref="X72:X74"/>
    <mergeCell ref="D51:D53"/>
    <mergeCell ref="T210:T212"/>
    <mergeCell ref="D324:D326"/>
    <mergeCell ref="AA231:AA233"/>
    <mergeCell ref="BD144:BD146"/>
    <mergeCell ref="A279:A281"/>
    <mergeCell ref="AW12:AW14"/>
    <mergeCell ref="V126:V128"/>
    <mergeCell ref="AS306:AS308"/>
    <mergeCell ref="BM354:BM356"/>
    <mergeCell ref="AF27:AF29"/>
    <mergeCell ref="AB192:AB194"/>
    <mergeCell ref="C45:C47"/>
    <mergeCell ref="H171:H173"/>
    <mergeCell ref="AP18:AP20"/>
    <mergeCell ref="AW39:AW41"/>
    <mergeCell ref="BC207:BC209"/>
    <mergeCell ref="BF366:BF368"/>
    <mergeCell ref="AS177:AS179"/>
    <mergeCell ref="AS60:AS62"/>
    <mergeCell ref="BM198:BM200"/>
    <mergeCell ref="Z129:Z131"/>
    <mergeCell ref="AJ120:AJ122"/>
    <mergeCell ref="P99:P101"/>
    <mergeCell ref="AQ114:AQ116"/>
    <mergeCell ref="BK135:BK137"/>
    <mergeCell ref="AO81:AO83"/>
    <mergeCell ref="BL261:BL263"/>
    <mergeCell ref="BA159:BA161"/>
    <mergeCell ref="BI216:BI218"/>
    <mergeCell ref="AW180:AW182"/>
    <mergeCell ref="G78:G80"/>
    <mergeCell ref="AI183:AI185"/>
    <mergeCell ref="AY96:AY98"/>
    <mergeCell ref="L117:L119"/>
    <mergeCell ref="BI87:BI89"/>
    <mergeCell ref="A366:A368"/>
    <mergeCell ref="V108:V110"/>
    <mergeCell ref="AV333:AV335"/>
    <mergeCell ref="V27:V29"/>
    <mergeCell ref="B6:B8"/>
    <mergeCell ref="AB189:AB191"/>
    <mergeCell ref="AF9:AF11"/>
    <mergeCell ref="Y186:Y188"/>
    <mergeCell ref="AC315:AC317"/>
    <mergeCell ref="AL126:AL128"/>
    <mergeCell ref="D72:D74"/>
    <mergeCell ref="N69:N71"/>
    <mergeCell ref="BI306:BI308"/>
    <mergeCell ref="BK186:BK188"/>
    <mergeCell ref="B306:B308"/>
    <mergeCell ref="BA162:BA164"/>
    <mergeCell ref="N183:N185"/>
    <mergeCell ref="AO63:AO65"/>
    <mergeCell ref="BA156:BA158"/>
    <mergeCell ref="X84:X86"/>
    <mergeCell ref="BN189:BN191"/>
    <mergeCell ref="AR141:AR143"/>
    <mergeCell ref="C267:C269"/>
    <mergeCell ref="N54:N56"/>
    <mergeCell ref="X114:X116"/>
    <mergeCell ref="L21:L23"/>
    <mergeCell ref="AU294:AU296"/>
    <mergeCell ref="BG171:BG173"/>
    <mergeCell ref="AP72:AP74"/>
    <mergeCell ref="BE195:BE197"/>
    <mergeCell ref="B330:B332"/>
    <mergeCell ref="BC222:BC224"/>
    <mergeCell ref="BG42:BG44"/>
    <mergeCell ref="BM123:BM125"/>
    <mergeCell ref="Z144:Z146"/>
    <mergeCell ref="D96:D98"/>
    <mergeCell ref="D90:D92"/>
    <mergeCell ref="BN249:BN251"/>
    <mergeCell ref="BK204:BK206"/>
    <mergeCell ref="AQ183:AQ185"/>
    <mergeCell ref="BN243:BN245"/>
    <mergeCell ref="BN363:BN365"/>
    <mergeCell ref="B27:B29"/>
    <mergeCell ref="BL186:BL188"/>
    <mergeCell ref="BA84:BA86"/>
    <mergeCell ref="N60:N62"/>
    <mergeCell ref="L18:L20"/>
    <mergeCell ref="N105:N107"/>
    <mergeCell ref="S39:S41"/>
    <mergeCell ref="BI141:BI143"/>
    <mergeCell ref="A351:A353"/>
    <mergeCell ref="AH162:AH164"/>
    <mergeCell ref="AI198:AI200"/>
    <mergeCell ref="A345:A347"/>
    <mergeCell ref="AC30:AC32"/>
    <mergeCell ref="AZ201:AZ203"/>
    <mergeCell ref="Y78:Y80"/>
    <mergeCell ref="L51:L53"/>
    <mergeCell ref="Z204:Z206"/>
    <mergeCell ref="BJ138:BJ140"/>
    <mergeCell ref="AM45:AM47"/>
    <mergeCell ref="W159:W161"/>
    <mergeCell ref="T6:T8"/>
    <mergeCell ref="C51:C53"/>
    <mergeCell ref="BC150:BC152"/>
    <mergeCell ref="P171:P173"/>
    <mergeCell ref="S210:S212"/>
    <mergeCell ref="AC354:AC356"/>
    <mergeCell ref="P165:P167"/>
    <mergeCell ref="AR276:AR278"/>
    <mergeCell ref="AX18:AX20"/>
    <mergeCell ref="BC144:BC146"/>
    <mergeCell ref="BE39:BE41"/>
    <mergeCell ref="AE6:AE8"/>
    <mergeCell ref="AR306:AR308"/>
    <mergeCell ref="BL327:BL329"/>
    <mergeCell ref="P42:P44"/>
    <mergeCell ref="J189:J191"/>
    <mergeCell ref="N9:N11"/>
    <mergeCell ref="V66:V68"/>
    <mergeCell ref="B45:B47"/>
    <mergeCell ref="BB207:BB209"/>
    <mergeCell ref="BI159:BI161"/>
    <mergeCell ref="BL198:BL200"/>
    <mergeCell ref="H126:H128"/>
    <mergeCell ref="O105:O107"/>
    <mergeCell ref="AV309:AV311"/>
    <mergeCell ref="T39:T41"/>
    <mergeCell ref="AI120:AI122"/>
    <mergeCell ref="BE210:BE212"/>
    <mergeCell ref="BG96:BG98"/>
    <mergeCell ref="B345:B347"/>
    <mergeCell ref="P198:P200"/>
    <mergeCell ref="AU33:AU35"/>
    <mergeCell ref="H54:H56"/>
    <mergeCell ref="N135:N137"/>
    <mergeCell ref="AD48:AD50"/>
    <mergeCell ref="AC258:AC260"/>
    <mergeCell ref="X159:X161"/>
    <mergeCell ref="AQ81:AQ83"/>
    <mergeCell ref="AR288:AR290"/>
    <mergeCell ref="A6:A8"/>
    <mergeCell ref="BA99:BA101"/>
    <mergeCell ref="AR207:AR209"/>
    <mergeCell ref="X186:X188"/>
    <mergeCell ref="AE18:AE20"/>
    <mergeCell ref="AY66:AY68"/>
    <mergeCell ref="BG123:BG125"/>
    <mergeCell ref="AM102:AM104"/>
    <mergeCell ref="BI156:BI158"/>
    <mergeCell ref="AH177:AH179"/>
    <mergeCell ref="H108:H110"/>
    <mergeCell ref="AW3:AW5"/>
    <mergeCell ref="H144:H146"/>
    <mergeCell ref="J24:J26"/>
    <mergeCell ref="A306:A308"/>
    <mergeCell ref="T21:T23"/>
    <mergeCell ref="AW117:AW119"/>
    <mergeCell ref="C36:C38"/>
    <mergeCell ref="AQ141:AQ143"/>
    <mergeCell ref="B267:B269"/>
    <mergeCell ref="D162:D164"/>
    <mergeCell ref="BN321:BN323"/>
    <mergeCell ref="BA132:BA134"/>
    <mergeCell ref="BI189:BI191"/>
    <mergeCell ref="AO168:AO170"/>
    <mergeCell ref="AH201:AH203"/>
    <mergeCell ref="BM9:BM11"/>
    <mergeCell ref="BN315:BN317"/>
    <mergeCell ref="AY69:AY71"/>
    <mergeCell ref="D33:D35"/>
    <mergeCell ref="L90:L92"/>
    <mergeCell ref="AV24:AV26"/>
    <mergeCell ref="BB222:BB224"/>
    <mergeCell ref="AW150:AW152"/>
    <mergeCell ref="AC129:AC131"/>
    <mergeCell ref="AS288:AS290"/>
    <mergeCell ref="BI84:BI86"/>
    <mergeCell ref="C69:C71"/>
    <mergeCell ref="AM3:AM5"/>
    <mergeCell ref="C96:C98"/>
    <mergeCell ref="D333:D335"/>
    <mergeCell ref="A288:A290"/>
    <mergeCell ref="AW21:AW23"/>
    <mergeCell ref="BE78:BE80"/>
    <mergeCell ref="J42:J44"/>
    <mergeCell ref="AK57:AK59"/>
    <mergeCell ref="BM363:BM365"/>
    <mergeCell ref="P123:P125"/>
    <mergeCell ref="C54:C56"/>
    <mergeCell ref="AH198:AH200"/>
    <mergeCell ref="I105:I107"/>
    <mergeCell ref="BD342:BD344"/>
    <mergeCell ref="AY210:AY212"/>
    <mergeCell ref="AO96:AO98"/>
    <mergeCell ref="BI111:BI113"/>
    <mergeCell ref="B117:B119"/>
    <mergeCell ref="AO90:AO92"/>
    <mergeCell ref="AW147:AW149"/>
    <mergeCell ref="B111:B113"/>
    <mergeCell ref="AR222:AR224"/>
    <mergeCell ref="L12:L14"/>
    <mergeCell ref="V9:V11"/>
    <mergeCell ref="AI192:AI194"/>
    <mergeCell ref="AW18:AW20"/>
    <mergeCell ref="AN126:AN128"/>
    <mergeCell ref="BD39:BD41"/>
    <mergeCell ref="BJ207:BJ209"/>
    <mergeCell ref="BN30:BN32"/>
    <mergeCell ref="AU105:AU107"/>
    <mergeCell ref="AW51:AW53"/>
    <mergeCell ref="AQ120:AQ122"/>
    <mergeCell ref="A18:A20"/>
    <mergeCell ref="AC330:AC332"/>
    <mergeCell ref="AQ156:AQ158"/>
    <mergeCell ref="AS36:AS38"/>
    <mergeCell ref="BD339:BD341"/>
    <mergeCell ref="D177:D179"/>
    <mergeCell ref="BH159:BH161"/>
    <mergeCell ref="BK177:BK179"/>
    <mergeCell ref="BM93:BM95"/>
    <mergeCell ref="BN240:BN242"/>
    <mergeCell ref="N78:N80"/>
    <mergeCell ref="AA261:AA263"/>
    <mergeCell ref="BA171:BA173"/>
    <mergeCell ref="AP219:AP221"/>
    <mergeCell ref="AY138:AY140"/>
    <mergeCell ref="BE300:BE302"/>
    <mergeCell ref="L159:L161"/>
    <mergeCell ref="AM174:AM176"/>
    <mergeCell ref="BB297:BB299"/>
    <mergeCell ref="AW165:AW167"/>
    <mergeCell ref="AC27:AC29"/>
    <mergeCell ref="BJ348:BJ350"/>
    <mergeCell ref="J96:J98"/>
    <mergeCell ref="H210:H212"/>
    <mergeCell ref="AM18:AM20"/>
    <mergeCell ref="C111:C113"/>
    <mergeCell ref="BG66:BG68"/>
    <mergeCell ref="BJ225:BJ227"/>
    <mergeCell ref="BE3:BE5"/>
    <mergeCell ref="AD24:AD26"/>
    <mergeCell ref="AQ207:AQ209"/>
    <mergeCell ref="R60:R62"/>
    <mergeCell ref="D228:D230"/>
    <mergeCell ref="BC84:BC86"/>
    <mergeCell ref="AX159:AX161"/>
    <mergeCell ref="BA198:BA200"/>
    <mergeCell ref="BM75:BM77"/>
    <mergeCell ref="AS54:AS56"/>
    <mergeCell ref="N129:N131"/>
    <mergeCell ref="D105:D107"/>
    <mergeCell ref="AO75:AO77"/>
    <mergeCell ref="X120:X122"/>
    <mergeCell ref="D99:D101"/>
    <mergeCell ref="AY135:AY137"/>
    <mergeCell ref="L183:L185"/>
    <mergeCell ref="BB294:BB296"/>
    <mergeCell ref="AP201:AP203"/>
    <mergeCell ref="V180:V182"/>
    <mergeCell ref="BL195:BL197"/>
    <mergeCell ref="V93:V95"/>
    <mergeCell ref="C162:C164"/>
    <mergeCell ref="BN42:BN44"/>
    <mergeCell ref="AC381:AC383"/>
    <mergeCell ref="AK129:AK131"/>
    <mergeCell ref="BE150:BE152"/>
    <mergeCell ref="BE144:BE146"/>
    <mergeCell ref="BJ276:BJ278"/>
    <mergeCell ref="BL9:BL11"/>
    <mergeCell ref="BK348:BK350"/>
    <mergeCell ref="P195:P197"/>
    <mergeCell ref="P189:P191"/>
    <mergeCell ref="AU24:AU26"/>
    <mergeCell ref="BE21:BE23"/>
    <mergeCell ref="R42:R44"/>
    <mergeCell ref="AB102:AB104"/>
    <mergeCell ref="X123:X125"/>
    <mergeCell ref="Z39:Z41"/>
    <mergeCell ref="BI183:BI185"/>
    <mergeCell ref="AO162:AO164"/>
    <mergeCell ref="B183:B185"/>
    <mergeCell ref="BD78:BD80"/>
    <mergeCell ref="BL342:BL344"/>
    <mergeCell ref="AY153:AY155"/>
    <mergeCell ref="BL336:BL338"/>
    <mergeCell ref="L84:L86"/>
    <mergeCell ref="B369:B371"/>
    <mergeCell ref="V75:V77"/>
    <mergeCell ref="B54:B56"/>
    <mergeCell ref="AW90:AW92"/>
    <mergeCell ref="J111:J113"/>
    <mergeCell ref="AD159:AD161"/>
    <mergeCell ref="BN102:BN104"/>
    <mergeCell ref="AU171:AU173"/>
    <mergeCell ref="J51:J53"/>
    <mergeCell ref="T48:T50"/>
    <mergeCell ref="BL39:BL41"/>
    <mergeCell ref="U138:U140"/>
    <mergeCell ref="A117:A119"/>
    <mergeCell ref="AQ222:AQ224"/>
    <mergeCell ref="C6:C8"/>
    <mergeCell ref="AU42:AU44"/>
    <mergeCell ref="BC99:BC101"/>
    <mergeCell ref="BA123:BA125"/>
    <mergeCell ref="N144:N146"/>
    <mergeCell ref="AC66:AC68"/>
    <mergeCell ref="AH192:AH194"/>
    <mergeCell ref="AM126:AM128"/>
    <mergeCell ref="BL339:BL341"/>
    <mergeCell ref="BM36:BM38"/>
    <mergeCell ref="BJ306:BJ308"/>
    <mergeCell ref="Z57:Z59"/>
    <mergeCell ref="AT105:AT107"/>
    <mergeCell ref="C306:C308"/>
    <mergeCell ref="AW141:AW143"/>
    <mergeCell ref="BG138:BG140"/>
    <mergeCell ref="AM117:AM119"/>
    <mergeCell ref="BM300:BM302"/>
    <mergeCell ref="W198:W200"/>
    <mergeCell ref="C177:C179"/>
    <mergeCell ref="AM111:AM113"/>
    <mergeCell ref="AU174:AU176"/>
    <mergeCell ref="AW108:AW110"/>
    <mergeCell ref="BG132:BG134"/>
    <mergeCell ref="BM336:BM338"/>
    <mergeCell ref="M78:M80"/>
    <mergeCell ref="BG9:BG11"/>
    <mergeCell ref="AD90:AD92"/>
    <mergeCell ref="AS12:AS14"/>
    <mergeCell ref="BF195:BF197"/>
    <mergeCell ref="BI354:BI356"/>
    <mergeCell ref="AB27:AB29"/>
    <mergeCell ref="L141:L143"/>
    <mergeCell ref="AY207:AY209"/>
    <mergeCell ref="AL18:AL20"/>
    <mergeCell ref="V132:V134"/>
    <mergeCell ref="AS39:AS41"/>
    <mergeCell ref="BI198:BI200"/>
    <mergeCell ref="AO177:AO179"/>
    <mergeCell ref="BK114:BK116"/>
    <mergeCell ref="A318:A320"/>
    <mergeCell ref="AY78:AY80"/>
    <mergeCell ref="BG135:BG137"/>
    <mergeCell ref="L99:L101"/>
    <mergeCell ref="J66:J68"/>
    <mergeCell ref="AK81:AK83"/>
    <mergeCell ref="L135:L137"/>
    <mergeCell ref="BH261:BH263"/>
    <mergeCell ref="AW159:AW161"/>
    <mergeCell ref="H3:H5"/>
    <mergeCell ref="C78:C80"/>
    <mergeCell ref="AX141:AX143"/>
    <mergeCell ref="BN27:BN29"/>
    <mergeCell ref="AU96:AU98"/>
    <mergeCell ref="BE87:BE89"/>
    <mergeCell ref="AO201:AO203"/>
    <mergeCell ref="A15:A17"/>
    <mergeCell ref="BK168:BK170"/>
    <mergeCell ref="B141:B143"/>
    <mergeCell ref="C378:C380"/>
    <mergeCell ref="B135:B137"/>
    <mergeCell ref="AB45:AB47"/>
    <mergeCell ref="E294:E296"/>
    <mergeCell ref="BG189:BG191"/>
    <mergeCell ref="AJ129:AJ131"/>
    <mergeCell ref="B12:B14"/>
    <mergeCell ref="J69:J71"/>
    <mergeCell ref="C231:C233"/>
    <mergeCell ref="AW162:AW164"/>
    <mergeCell ref="T87:T89"/>
    <mergeCell ref="AW156:AW158"/>
    <mergeCell ref="BN168:BN170"/>
    <mergeCell ref="Y39:Y41"/>
    <mergeCell ref="T114:T116"/>
    <mergeCell ref="H21:H23"/>
    <mergeCell ref="AI36:AI38"/>
    <mergeCell ref="AV219:AV221"/>
    <mergeCell ref="A183:A185"/>
    <mergeCell ref="AI30:AI32"/>
    <mergeCell ref="AQ294:AQ296"/>
    <mergeCell ref="BC57:BC59"/>
    <mergeCell ref="BK342:BK344"/>
    <mergeCell ref="BH297:BH299"/>
    <mergeCell ref="AL72:AL74"/>
    <mergeCell ref="R51:R53"/>
    <mergeCell ref="K84:K86"/>
    <mergeCell ref="L156:L158"/>
    <mergeCell ref="BC42:BC44"/>
    <mergeCell ref="AC168:AC170"/>
    <mergeCell ref="BM102:BM104"/>
    <mergeCell ref="BI123:BI125"/>
    <mergeCell ref="AC9:AC11"/>
    <mergeCell ref="C135:C137"/>
    <mergeCell ref="AM69:AM71"/>
    <mergeCell ref="AU126:AU128"/>
    <mergeCell ref="AJ24:AJ26"/>
    <mergeCell ref="P3:P5"/>
    <mergeCell ref="T138:T140"/>
    <mergeCell ref="BK39:BK41"/>
    <mergeCell ref="BG204:BG206"/>
    <mergeCell ref="C249:C251"/>
    <mergeCell ref="AM183:AM185"/>
    <mergeCell ref="BB105:BB107"/>
    <mergeCell ref="AK6:AK8"/>
    <mergeCell ref="BJ363:BJ365"/>
    <mergeCell ref="BH186:BH188"/>
    <mergeCell ref="A186:A188"/>
    <mergeCell ref="H18:H20"/>
    <mergeCell ref="J105:J107"/>
    <mergeCell ref="AB66:AB68"/>
    <mergeCell ref="BK339:BK341"/>
    <mergeCell ref="J141:J143"/>
    <mergeCell ref="AS78:AS80"/>
    <mergeCell ref="U78:U80"/>
    <mergeCell ref="AQ15:AQ17"/>
    <mergeCell ref="B156:B158"/>
    <mergeCell ref="V204:V206"/>
    <mergeCell ref="BA12:BA14"/>
    <mergeCell ref="BF138:BF140"/>
    <mergeCell ref="S159:S161"/>
    <mergeCell ref="V198:V200"/>
    <mergeCell ref="BI297:BI299"/>
    <mergeCell ref="O210:O212"/>
    <mergeCell ref="AC96:AC98"/>
    <mergeCell ref="AT18:AT20"/>
    <mergeCell ref="BN66:BN68"/>
    <mergeCell ref="BK21:BK23"/>
    <mergeCell ref="BK57:BK59"/>
    <mergeCell ref="BH327:BH329"/>
    <mergeCell ref="A54:A56"/>
    <mergeCell ref="AK24:AK26"/>
    <mergeCell ref="AX207:AX209"/>
    <mergeCell ref="AK18:AK20"/>
    <mergeCell ref="BJ84:BJ86"/>
    <mergeCell ref="BE159:BE161"/>
    <mergeCell ref="BH198:BH200"/>
    <mergeCell ref="D126:D128"/>
    <mergeCell ref="O84:O86"/>
    <mergeCell ref="BK357:BK359"/>
    <mergeCell ref="AD30:AD32"/>
    <mergeCell ref="K105:K107"/>
    <mergeCell ref="BC96:BC98"/>
    <mergeCell ref="AE156:AE158"/>
    <mergeCell ref="BI294:BI296"/>
    <mergeCell ref="E366:E368"/>
    <mergeCell ref="AQ33:AQ35"/>
    <mergeCell ref="B78:B80"/>
    <mergeCell ref="AC93:AC95"/>
    <mergeCell ref="BM27:BM29"/>
    <mergeCell ref="Z48:Z50"/>
    <mergeCell ref="J162:J164"/>
    <mergeCell ref="Y258:Y260"/>
    <mergeCell ref="AD183:AD185"/>
    <mergeCell ref="T159:T161"/>
    <mergeCell ref="T153:T155"/>
    <mergeCell ref="BL144:BL146"/>
    <mergeCell ref="C174:C176"/>
    <mergeCell ref="B378:B380"/>
    <mergeCell ref="AW99:AW101"/>
    <mergeCell ref="T186:T188"/>
    <mergeCell ref="AA18:AA20"/>
    <mergeCell ref="AU66:AU68"/>
    <mergeCell ref="D294:D296"/>
    <mergeCell ref="AI102:AI104"/>
    <mergeCell ref="AD177:AD179"/>
    <mergeCell ref="AX225:AX227"/>
    <mergeCell ref="AS3:AS5"/>
    <mergeCell ref="AB114:AB116"/>
    <mergeCell ref="L222:L224"/>
    <mergeCell ref="BM174:BM176"/>
    <mergeCell ref="AM141:AM143"/>
    <mergeCell ref="AC75:AC77"/>
    <mergeCell ref="AM135:AM137"/>
    <mergeCell ref="BE180:BE182"/>
    <mergeCell ref="AC111:AC113"/>
    <mergeCell ref="BJ315:BJ317"/>
    <mergeCell ref="C321:C323"/>
    <mergeCell ref="AD201:AD203"/>
    <mergeCell ref="J180:J182"/>
    <mergeCell ref="AK168:AK170"/>
    <mergeCell ref="AP294:AP296"/>
    <mergeCell ref="AU69:AU71"/>
    <mergeCell ref="AN231:AN233"/>
    <mergeCell ref="AB138:AB140"/>
    <mergeCell ref="H117:H119"/>
    <mergeCell ref="AX222:AX224"/>
    <mergeCell ref="R108:R110"/>
    <mergeCell ref="Y129:Y131"/>
    <mergeCell ref="AO288:AO290"/>
    <mergeCell ref="X189:X191"/>
    <mergeCell ref="D312:D314"/>
    <mergeCell ref="AB9:AB11"/>
    <mergeCell ref="BE84:BE86"/>
    <mergeCell ref="AT126:AT128"/>
    <mergeCell ref="AS21:AS23"/>
    <mergeCell ref="B249:B251"/>
    <mergeCell ref="AL183:AL185"/>
    <mergeCell ref="BA105:BA107"/>
    <mergeCell ref="BI363:BI365"/>
    <mergeCell ref="L123:L125"/>
    <mergeCell ref="BG186:BG188"/>
    <mergeCell ref="T207:T209"/>
    <mergeCell ref="BN138:BN140"/>
    <mergeCell ref="AT117:AT119"/>
    <mergeCell ref="AD198:AD200"/>
    <mergeCell ref="D15:D17"/>
    <mergeCell ref="A285:A287"/>
    <mergeCell ref="J177:J179"/>
    <mergeCell ref="AR84:AR86"/>
    <mergeCell ref="BN132:BN134"/>
    <mergeCell ref="BK129:BK131"/>
    <mergeCell ref="AU210:AU212"/>
    <mergeCell ref="BG144:BG146"/>
    <mergeCell ref="AK96:AK98"/>
    <mergeCell ref="BE111:BE113"/>
    <mergeCell ref="A156:A158"/>
    <mergeCell ref="D279:D281"/>
    <mergeCell ref="AK90:AK92"/>
    <mergeCell ref="B246:B248"/>
    <mergeCell ref="BJ72:BJ74"/>
    <mergeCell ref="BM195:BM197"/>
    <mergeCell ref="BC165:BC167"/>
    <mergeCell ref="BC48:BC50"/>
    <mergeCell ref="H12:H14"/>
    <mergeCell ref="BJ186:BJ188"/>
    <mergeCell ref="R9:R11"/>
    <mergeCell ref="AB69:AB71"/>
    <mergeCell ref="H48:H50"/>
    <mergeCell ref="N210:N212"/>
    <mergeCell ref="AL186:AL188"/>
    <mergeCell ref="AS18:AS20"/>
    <mergeCell ref="Z87:Z89"/>
    <mergeCell ref="AZ39:AZ41"/>
    <mergeCell ref="BF207:BF209"/>
    <mergeCell ref="AT144:AT146"/>
    <mergeCell ref="Z6:Z8"/>
    <mergeCell ref="AW186:AW188"/>
    <mergeCell ref="BG177:BG179"/>
    <mergeCell ref="AO36:AO38"/>
    <mergeCell ref="AZ339:AZ341"/>
    <mergeCell ref="AY33:AY35"/>
    <mergeCell ref="BD159:BD161"/>
    <mergeCell ref="C126:C128"/>
    <mergeCell ref="AO72:AO74"/>
    <mergeCell ref="J78:J80"/>
    <mergeCell ref="BE141:BE143"/>
    <mergeCell ref="R162:R164"/>
    <mergeCell ref="AL219:AL221"/>
    <mergeCell ref="AB153:AB155"/>
    <mergeCell ref="BA300:BA302"/>
    <mergeCell ref="D366:D368"/>
    <mergeCell ref="AI174:AI176"/>
    <mergeCell ref="AS165:AS167"/>
    <mergeCell ref="BM213:BM215"/>
    <mergeCell ref="A78:A80"/>
    <mergeCell ref="BC66:BC68"/>
    <mergeCell ref="AI45:AI47"/>
    <mergeCell ref="BM126:BM128"/>
    <mergeCell ref="AQ102:AQ104"/>
    <mergeCell ref="BF225:BF227"/>
    <mergeCell ref="AO126:AO128"/>
    <mergeCell ref="B147:B149"/>
    <mergeCell ref="BA3:BA5"/>
    <mergeCell ref="A378:A380"/>
    <mergeCell ref="AM207:AM209"/>
    <mergeCell ref="Z18:Z20"/>
    <mergeCell ref="J132:J134"/>
    <mergeCell ref="X42:X44"/>
    <mergeCell ref="AW198:AW200"/>
  </mergeCells>
  <dataValidations count="1">
    <dataValidation sqref="D5 D8 D11 D14 D17 D20 D23 D26 D29 D32 D35 D38 D41 D44 D47 D50 D53 D56:D77 D80 D83 D86 D89 D92:D95 D98 D101 D104 D107 D110 D113 D116 D119 D122 D125 D128:D131 D134 D137:D146 D149 D152 D155:D158 D161 D164 D167 D170 D172:D383 AD5:AG5 AD8:AG8 AD11:AD14 AD17:AG17 AD20:AG20 AD23:AG23 AD26:AG26 AD29:AG29 AD32:AG32 AD35:AG35 AD38:AG38 AD41:AG41 AD44:AG44 AD47:AG47 AD50:AG50 AD53:AG53 AD56:AG77 AD80:AG80 AD83:AG83 AD86:AG86 AD89:AG89 AD92:AG95 AD98:AG98 AD101:AG101 AD104:AG104 AD107:AG107 AD110:AG110 AD113:AG113 AD116:AG116 AD119:AG119 AD122:AG122 AD125:AG125 AD128:AG131 AD134:AG134 AD137:AG140 AD142:AG146 AD149:AG149 AD152:AG152 AD155:AG158 AD161:AG161 AD164:AG164 AD167:AG167 AD170:AG181 AD182 AD183:AG191 AD192:AD227 AE11:AG11 AE14:AF14 AE141:AG141 AE192:AG207 AF182:AG182 AG12:AG14" showDropDown="0" showInputMessage="1" showErrorMessage="1" allowBlank="1" type="custom" errorStyle="information"/>
  </dataValidations>
  <hyperlinks>
    <hyperlink xmlns:r="http://schemas.openxmlformats.org/officeDocument/2006/relationships" ref="BN3" display="https://detail.1688.com/offer/618469986829.html?_t=1731392792455&amp;spm=a2615.7691456.co_0_0_wangpu_score_0_0_0_0_0_0_0000_0.0" r:id="rId1"/>
    <hyperlink xmlns:r="http://schemas.openxmlformats.org/officeDocument/2006/relationships" ref="BN6" display="https://detail.1688.com/offer/842197098635.html?_t=1731395210276&amp;spm=a2615.7691456.co_1_0_wangpu_score_0_0_0_0_0_0_0000_0.0" r:id="rId2"/>
    <hyperlink xmlns:r="http://schemas.openxmlformats.org/officeDocument/2006/relationships" ref="BN9" display="https://detail.1688.com/offer/846213691265.html?_t=1731395274213&amp;spm=a2615.7691456.co_1_0_wangpu_score_0_0_0_0_0_0_0000_0.0" r:id="rId3"/>
    <hyperlink xmlns:r="http://schemas.openxmlformats.org/officeDocument/2006/relationships" ref="BN12" display="https://detail.1688.com/offer/617671320043.html?_t=1732790000457&amp;spm=a2615.7691456.co_0_0_wangpu_score_0_0_0_0_0_0_0000_1.0" r:id="rId4"/>
    <hyperlink xmlns:r="http://schemas.openxmlformats.org/officeDocument/2006/relationships" ref="BN15" display="https://detail.1688.com/offer/657996898326.html?_t=1731395469207&amp;spm=a2615.7691456.co_1_0_wangpu_score_0_0_0_0_0_0_0000_0.0" r:id="rId5"/>
    <hyperlink xmlns:r="http://schemas.openxmlformats.org/officeDocument/2006/relationships" ref="BN18" display="https://detail.1688.com/offer/617837893058.html?_t=1731392024147&amp;spm=a2615.7691456.co_0_0_wangpu_score_0_0_0_0_0_0_0000_0.0" r:id="rId6"/>
    <hyperlink xmlns:r="http://schemas.openxmlformats.org/officeDocument/2006/relationships" ref="BN21" display="https://detail.1688.com/offer/650524577801.html?_t=1732839689427&amp;spm=a2615.7691456.co_0_0_tradenumdown_0_0_0_0_0_0_0000_0.0" r:id="rId7"/>
    <hyperlink xmlns:r="http://schemas.openxmlformats.org/officeDocument/2006/relationships" ref="BN24" tooltip="https://detail.1688.com/offer/833525839872.html?_t=1731398510739&amp;spm=a2615.7691456.co_1_0_wangpu_score_0_0_0_0_0_0_0000_0.0" display="https://detail.1688.com/offer/833525839872.html?_t=1731398510739&amp;spm=a2615.7691456.co_1_0_wangpu_score_0_0_0_0_0_0_0000_0.0" r:id="rId8"/>
    <hyperlink xmlns:r="http://schemas.openxmlformats.org/officeDocument/2006/relationships" ref="BN27" tooltip="https://detail.1688.com/offer/722785857582.html?_t=1731392325741&amp;spm=a2615.7691456.co_0_0_wangpu_score_0_0_0_0_0_0_0000_0.0" display="https://detail.1688.com/offer/722785857582.html?_t=1731392325741&amp;spm=a2615.7691456.co_0_0_wangpu_score_0_0_0_0_0_0_0000_0.0" r:id="rId9"/>
    <hyperlink xmlns:r="http://schemas.openxmlformats.org/officeDocument/2006/relationships" ref="BN30" display="https://detail.1688.com/offer/716290605412.html?_t=1731394821099&amp;spm=a2615.7691456.co_1_0_wangpu_score_0_0_0_0_0_0_0000_0.0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huangchuhao</dc:creator>
  <dcterms:created xmlns:dcterms="http://purl.org/dc/terms/" xmlns:xsi="http://www.w3.org/2001/XMLSchema-instance" xsi:type="dcterms:W3CDTF">2026-03-09T12:48:02Z</dcterms:created>
  <dcterms:modified xmlns:dcterms="http://purl.org/dc/terms/" xmlns:xsi="http://www.w3.org/2001/XMLSchema-instance" xsi:type="dcterms:W3CDTF">2026-03-11T16:43:03Z</dcterms:modified>
  <cp:lastModifiedBy>WPS_1736909888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A3BE6939C95886560251AE6925AC839F_41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